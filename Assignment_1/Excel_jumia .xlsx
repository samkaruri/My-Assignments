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6800" firstSheet="1" activeTab="2"/>
  </bookViews>
  <sheets>
    <sheet name="Descriptive  Anal" sheetId="4" r:id="rId1"/>
    <sheet name="Discount% vs Number of reviews" sheetId="5" r:id="rId2"/>
    <sheet name="Sheet1" sheetId="6" r:id="rId3"/>
    <sheet name="Excel_jumia (1) (1)" sheetId="1" r:id="rId4"/>
  </sheets>
  <definedNames>
    <definedName name="_xlnm._FilterDatabase" localSheetId="3" hidden="1">'Excel_jumia (1) (1)'!$A$1:$K$110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<sst xmlns="http://schemas.openxmlformats.org/spreadsheetml/2006/main" count="163" uniqueCount="148">
  <si>
    <t>Rating Category</t>
  </si>
  <si>
    <t>Discount Category</t>
  </si>
  <si>
    <t>Max of Current Price updated</t>
  </si>
  <si>
    <t>Average of Current Price updated</t>
  </si>
  <si>
    <t>Average of Discount</t>
  </si>
  <si>
    <t>Average of Old Price updated</t>
  </si>
  <si>
    <t>Average of Rating</t>
  </si>
  <si>
    <t>Min of Current Price updated</t>
  </si>
  <si>
    <t>Count of Product</t>
  </si>
  <si>
    <t>Average of Discount2</t>
  </si>
  <si>
    <t>Average of Rating2</t>
  </si>
  <si>
    <t>Average</t>
  </si>
  <si>
    <t>High Discount</t>
  </si>
  <si>
    <t>Low Discount</t>
  </si>
  <si>
    <t>Medium Discount</t>
  </si>
  <si>
    <t>Excellent</t>
  </si>
  <si>
    <t>Poor</t>
  </si>
  <si>
    <t>(blank)</t>
  </si>
  <si>
    <t>Grand Total</t>
  </si>
  <si>
    <t>Discount</t>
  </si>
  <si>
    <t>Average of Review</t>
  </si>
  <si>
    <t>0-0.1</t>
  </si>
  <si>
    <t>0.1-0.2</t>
  </si>
  <si>
    <t>0.2-0.3</t>
  </si>
  <si>
    <t>0.3-0.4</t>
  </si>
  <si>
    <t>0.4-0.5</t>
  </si>
  <si>
    <t>0.5-0.6</t>
  </si>
  <si>
    <t>0.6-0.7</t>
  </si>
  <si>
    <t>Rating</t>
  </si>
  <si>
    <t>0-5</t>
  </si>
  <si>
    <t>Product</t>
  </si>
  <si>
    <t>Current price</t>
  </si>
  <si>
    <t>Old price</t>
  </si>
  <si>
    <t>Current Price updated</t>
  </si>
  <si>
    <t>Old Price updated</t>
  </si>
  <si>
    <t>Review</t>
  </si>
  <si>
    <t>Discount Amount</t>
  </si>
  <si>
    <t>115  Piece Set Of Multifunctional Precision Screwdrivers</t>
  </si>
  <si>
    <t>Metal Decorative Hooks Key Hangers Entryway Wall Hooks Towel Hooks - Home</t>
  </si>
  <si>
    <t>Portable Mini Cordless Car Vacuum Cleaner - Blue</t>
  </si>
  <si>
    <t>Weighing Scale Digital Bathroom Body Fat Scale USB-Black</t>
  </si>
  <si>
    <t>Portable Home Small Air Humidifier 3-Speed Fan - Green</t>
  </si>
  <si>
    <t>220V 60W Electric Soldering Iron Kits With Tools, Tips, And Multimeter</t>
  </si>
  <si>
    <t>137 Pieces Cake Decorating Tool Set Baking Supplies</t>
  </si>
  <si>
    <t>Desk Foldable Fan Adjustable Fan Strong Wind 3 Gear Usb</t>
  </si>
  <si>
    <t>LASA FOLDING TABLE SERVING STAND</t>
  </si>
  <si>
    <t>13 In 1 Home Repair Tools Box Kit Set</t>
  </si>
  <si>
    <t>Genebre 115 In 1 Screwdriver Repairing Tool Set For IPhone Cellphone Hand Tool</t>
  </si>
  <si>
    <t>100 Pcs Crochet Hook Tool Set Knitting Hook Set With Box</t>
  </si>
  <si>
    <t>40cm Gold DIY Acrylic Wall Sticker Clock</t>
  </si>
  <si>
    <t>LASA Digital Thermometer And Hydrometer</t>
  </si>
  <si>
    <t>Multifunction Laser Level With Adjustment Tripod</t>
  </si>
  <si>
    <t>Anti-Skid Absorbent Insulation Coaster  For Home Office</t>
  </si>
  <si>
    <t>Peacock  Throw Pillow Cushion Case For Home Car</t>
  </si>
  <si>
    <t>LASA Aluminum Folding Truck Hand Cart - 68kg Max</t>
  </si>
  <si>
    <t>LED Wall Digital Alarm Clock Study Home 12 / 24H Clock Calendar</t>
  </si>
  <si>
    <t>3D Waterproof EVA Plastic Shower Curtain 1.8*2Mtrs</t>
  </si>
  <si>
    <t>3PCS Single Head Knitting Crochet Sweater Needle Set</t>
  </si>
  <si>
    <t>4pcs Bathroom/Kitchen Towel Rack,Roll Paper Holder,Towel Bars,Hook</t>
  </si>
  <si>
    <t>LED Romantic Spaceship Starry Sky Projector,Children's Bedroom Night Light-Blue</t>
  </si>
  <si>
    <t>Foldable Overbed Table/Desk</t>
  </si>
  <si>
    <t>LASA 3 Tier Bamboo Shoe Bench Storage Shelf</t>
  </si>
  <si>
    <t>Electronic Digital Display Vernier Caliper</t>
  </si>
  <si>
    <t>Portable Wardrobe Nonwoven With 3 Hanging Rods And 6 Storage Shelves</t>
  </si>
  <si>
    <t>12 Litre Black Insulated Lunch Box</t>
  </si>
  <si>
    <t>52 Pieces Cake Decorating Tool Set Gift Kit Baking Supplies</t>
  </si>
  <si>
    <t>MultiFunctional Storage Rack Multi-layer Bookshelf</t>
  </si>
  <si>
    <t>Exfoliate And Exfoliate Face Towel - Black</t>
  </si>
  <si>
    <t>12 Litre Insulated Lunch Box Grey</t>
  </si>
  <si>
    <t>LED Eye Protection  Desk Lamp , Study, Reading, USB Fan - Double Pen Holder</t>
  </si>
  <si>
    <t>53Pcs/Set Yarn Knitting Crochet Hooks With Bag - Fortune Cat</t>
  </si>
  <si>
    <t>53 Pieces/Set Yarn Knitting Crochet Hooks With Bag - Pansies</t>
  </si>
  <si>
    <t>DIY File Folder, Office Drawer File Holder, Pen Holder, Desktop Storage Rack</t>
  </si>
  <si>
    <t>Classic Black Cat Cotton Hemp Pillow Case For Home Car</t>
  </si>
  <si>
    <t>Punch-free Great Load Bearing Bathroom Storage Rack Wall Shelf-White</t>
  </si>
  <si>
    <t>1/2/3 Seater Elastic Sofa Cover,Living Room/Home Decor Chair Cover-Grey</t>
  </si>
  <si>
    <t xml:space="preserve"> 1,620 -  1,980</t>
  </si>
  <si>
    <t xml:space="preserve"> 2,200 -  3,200</t>
  </si>
  <si>
    <t>LASA Stainless Steel Double Wall Mount Soap Dispenser - 500ml</t>
  </si>
  <si>
    <t>4M Float Switch Water Level Controller -Water Tank</t>
  </si>
  <si>
    <t>Modern Sofa Throw Pillow Cover-45x45cm-Blue&amp;Red</t>
  </si>
  <si>
    <t>Balloon Insert, Birthday Party Balloon Set, PU Leather</t>
  </si>
  <si>
    <t>Shower Cap Wide Elastic Band Cover Reusable Bashroom Cap</t>
  </si>
  <si>
    <t>Christmas Elk Fence Yard Lawn Decorations Cute For Holidays</t>
  </si>
  <si>
    <t>60W Hot Melt Glue Sprayer - Efficient And Stable Glue Dispensing</t>
  </si>
  <si>
    <t>Car Phone Charging Stand</t>
  </si>
  <si>
    <t>2pcs Solar Street Light Flood Light Outdoor</t>
  </si>
  <si>
    <t>Creative Owl Shape Keychain Black</t>
  </si>
  <si>
    <t>Brush &amp; Paintbrush Cleaning Tool Pink</t>
  </si>
  <si>
    <t>Pen Grips For Kids Pen Grip Posture Correction Tool For Kids</t>
  </si>
  <si>
    <t>Pilates Cloth Bag Waterproof Durable High Capacity Purple</t>
  </si>
  <si>
    <t>Multi-purpose Rice Drainage Basket And Fruit And Vegetable Drainage Sieve</t>
  </si>
  <si>
    <t>Cute Christmas Fence Garden Decorations For Holiday Home</t>
  </si>
  <si>
    <t>Simple Metal Dog Art Sculpture Decoration For Home Office</t>
  </si>
  <si>
    <t>Christmas Fence Garden Decorations Outdoor For Holiday Home</t>
  </si>
  <si>
    <t>Angle Measuring Tool Full Metal Multi Angle Measuring Tool</t>
  </si>
  <si>
    <t>12V 19500rpm Handheld Electric Angle Grinder Tool - UK - Yellow/Black</t>
  </si>
  <si>
    <t>5 Pieces/set Of Stainless Steel Induction Cooker Pots</t>
  </si>
  <si>
    <t>Mythco 120COB Solar Wall Ligt With Motion Sensor And Remote Control 3 Modes</t>
  </si>
  <si>
    <t>5-PCS Stainless Steel Cooking Pot Set With Steamed Slices</t>
  </si>
  <si>
    <t>120W Cordless Vacuum Cleaners Handheld Electric Vacuum Cleaner</t>
  </si>
  <si>
    <t>Intelligent  LED Body Sensor Wireless Lighting Night Light USB</t>
  </si>
  <si>
    <t>VIC Wireless Vacuum Cleaner Dual Use For Home And Car 120W High Power Powerful</t>
  </si>
  <si>
    <t>Artificial Potted Flowers Room Decorative Flowers (2 Pieces)</t>
  </si>
  <si>
    <t>380ML USB Rechargeable Portable Small Blenders And Juicers</t>
  </si>
  <si>
    <t>32PCS Portable Cordless Drill Set With Cyclic Battery Drive -26 Variable Speed</t>
  </si>
  <si>
    <t>Agapeon Toothbrush Holder And Toothpaste Dispenser</t>
  </si>
  <si>
    <t>Large Lazy Inflatable Sofa Chairs PVC Lounger Seat Bag</t>
  </si>
  <si>
    <t>Watercolour Gold Foil Textured Print Pillow Cover</t>
  </si>
  <si>
    <t>Wrought Iron Bathroom Shelf Wall Mounted Free Punch Toilet Rack</t>
  </si>
  <si>
    <t>7-piece Set Of Storage Bags, Travel Storage Bags, Shoe Bags</t>
  </si>
  <si>
    <t>Electric LED UV Mosquito Killer Lamp, Outdoor/Indoor Fly Killer Trap Light -USB</t>
  </si>
  <si>
    <t>2PCS/LOT Solar LED Outdoor Intelligent Light Controlled Wall Lamp</t>
  </si>
  <si>
    <t>3PCS Rotary Scraper Thermomix For Kitchen</t>
  </si>
  <si>
    <t>Cushion Silicone Butt Cushion Summer Ice Cushion Honeycomb Gel Cushion</t>
  </si>
  <si>
    <t>7PCS Silicone Thumb Knife Finger Protector Vegetable Harvesting Knife</t>
  </si>
  <si>
    <t>Memory Foam Neck Pillow Cover, With Pillow Core - 50*30cm</t>
  </si>
  <si>
    <t>Bedroom Simple Floor Hanging Clothes Rack Single Pole Hat Rack - White</t>
  </si>
  <si>
    <t>5m Waterproof Spherical LED String Lights Outdoor Ball Chain Lights Party Lighting Decoration Adjustable</t>
  </si>
  <si>
    <t>2 Pairs Cowhide Split Leather Work Gloves.32℉ Or Above Welding Gloves</t>
  </si>
  <si>
    <t>Household Pineapple Peeler Peeler</t>
  </si>
  <si>
    <t>Office Chair Lumbar Back Support Spine Posture Correction Pillow Car Cushion</t>
  </si>
  <si>
    <t>Cartoon Car Decoration Cute Individuality For Car Home Desk</t>
  </si>
  <si>
    <t>Outdoor Portable Water Bottle With Medicine Box - 600ML - Black</t>
  </si>
  <si>
    <t>Wall-Mounted Toothbrush Toothpaste Holder With Multiple Slots</t>
  </si>
  <si>
    <t>Multifunctional Hanging Storage Box Storage Bag (4 Layers)</t>
  </si>
  <si>
    <t>Wall Clock With Hidden Safe Box</t>
  </si>
  <si>
    <t>Portable Wine Table With Folding Round Table</t>
  </si>
  <si>
    <t>Sewing Machine Needle Threader Stitch Insertion Tool Automatic Quick Sewing</t>
  </si>
  <si>
    <t>6 Layers Steel Pipe Assembling Dustproof Storage Shoe Cabinet</t>
  </si>
  <si>
    <t>2PCS Ice Silk Square Cushion Cover Pillowcases - 65x65cm</t>
  </si>
  <si>
    <t>Wall Mount Automatic Toothpaste Dispenser Toothbrush Holder Toothpaste Squeezer</t>
  </si>
  <si>
    <t>Portable Soap Dispenser Kitchen Detergent Press Box Kitchen Tools</t>
  </si>
  <si>
    <t>4 Piece Coloured Stainless Steel Kitchenware Set</t>
  </si>
  <si>
    <t>Metal Wall Clock Silver Dial Crystal Jewelry Round Home Decoration Wall Clock</t>
  </si>
  <si>
    <t>Baby Early Education Shape And Color Cognitive Training Toys</t>
  </si>
  <si>
    <t>8in1 Screwdriver With LED Light</t>
  </si>
  <si>
    <t>Konka Healty Electric Kettle, 24-hour Heat Preservation,1.5L,800W, White</t>
  </si>
  <si>
    <t>9pcs Gas Mask, For Painting, Dust, Formaldehyde Grinding, Polishing</t>
  </si>
  <si>
    <t>24 Grid Wall-mounted Sundries Organiser Fabric Closet Bag Storage Rack</t>
  </si>
  <si>
    <t>1PC Refrigerator Food Seal Pocket Fridge Bags</t>
  </si>
  <si>
    <t>LED Solar Street Light-fake Camera</t>
  </si>
  <si>
    <t>Cartoon Embroidered Mini Towel Bear Cotton Wash Cloth Hand 4pcs</t>
  </si>
  <si>
    <t>Shower Nozzle Cleaning Unclogging Needle Mini Crevice Small Hole Cleaning Brush</t>
  </si>
  <si>
    <t>Thickening Multipurpose Non Stick Easy To Clean Heat Resistant Spoon Pad</t>
  </si>
  <si>
    <t>6 In 1 Bottle Can Opener Multifunctional Easy Opener</t>
  </si>
  <si>
    <t>Wall-mounted Sticker Punch-free Plug Fixer</t>
  </si>
  <si>
    <t>Black Simple Water Cup Wine Coaster Anti Slip Absorbent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</si>
</sst>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3" applyNumberFormat="1">
      <alignment vertical="center"/>
    </xf>
    <xf numFmtId="0" fontId="1" fillId="0" borderId="1" xfId="0" applyFont="1" applyBorder="1">
      <alignment vertical="center"/>
    </xf>
    <xf numFmtId="0" fontId="1" fillId="0" borderId="1" xfId="3" applyNumberFormat="1" applyFont="1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0" borderId="1" xfId="1" applyNumberFormat="1" applyBorder="1" applyAlignment="1">
      <alignment vertical="center" wrapText="1"/>
    </xf>
    <xf numFmtId="0" fontId="0" fillId="0" borderId="1" xfId="3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 Excel_jumia (1) (2).xlsx]Discount% vs Number of reviews!PivotTable3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Relationship Between Discount Percentage and Customer Reviews</a:t>
            </a:r>
          </a:p>
        </c:rich>
      </c:tx>
      <c:layout>
        <c:manualLayout>
          <c:xMode val="edge"/>
          <c:yMode val="edge"/>
          <c:x val="0.160208555516056"/>
          <c:y val="0.006898137502874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6437894861576"/>
          <c:y val="0.133569200667672"/>
          <c:w val="0.854921052631579"/>
          <c:h val="0.6243981481481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'Discount% vs Number of reviews'!$B$3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'Discount% vs Number of reviews'!$A$4:$A$11</c:f>
              <c:strCache>
                <c:ptCount val="7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</c:strCache>
            </c:strRef>
          </c:cat>
          <c:val>
            <c:numRef>
              <c:f>'Discount% vs Number of reviews'!$B$4:$B$11</c:f>
              <c:numCache>
                <c:formatCode>General</c:formatCode>
                <c:ptCount val="7"/>
                <c:pt idx="0">
                  <c:v>1.25</c:v>
                </c:pt>
                <c:pt idx="1">
                  <c:v>3.83333333333333</c:v>
                </c:pt>
                <c:pt idx="2">
                  <c:v>14.5714285714286</c:v>
                </c:pt>
                <c:pt idx="3">
                  <c:v>8.58823529411765</c:v>
                </c:pt>
                <c:pt idx="4">
                  <c:v>5.97619047619048</c:v>
                </c:pt>
                <c:pt idx="5">
                  <c:v>5.25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64194643"/>
        <c:axId val="338552172"/>
      </c:barChart>
      <c:catAx>
        <c:axId val="6641946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552172"/>
        <c:crosses val="autoZero"/>
        <c:auto val="1"/>
        <c:lblAlgn val="ctr"/>
        <c:lblOffset val="100"/>
        <c:noMultiLvlLbl val="0"/>
      </c:catAx>
      <c:valAx>
        <c:axId val="3385521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1946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0342a5-675a-460f-8abd-1fcaeb18cef3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 Excel_jumia (1) (2).xlsx]Sheet1!PivotTable1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Relationship Between Rating and Number of Reviews</a:t>
            </a:r>
          </a:p>
        </c:rich>
      </c:tx>
      <c:layout>
        <c:manualLayout>
          <c:xMode val="edge"/>
          <c:yMode val="edge"/>
          <c:x val="0.201513157894737"/>
          <c:y val="0.006944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736842105263"/>
          <c:y val="0.207638888888889"/>
          <c:w val="0.811894736842105"/>
          <c:h val="0.53087962962963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Sheet1!$A$4:$A$6</c:f>
              <c:strCache>
                <c:ptCount val="2"/>
                <c:pt idx="0">
                  <c:v>(blank)</c:v>
                </c:pt>
                <c:pt idx="1">
                  <c:v>0-5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1">
                  <c:v>6.63302752293578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298764"/>
        <c:axId val="705081093"/>
      </c:lineChart>
      <c:catAx>
        <c:axId val="8482987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5081093"/>
        <c:crosses val="autoZero"/>
        <c:auto val="1"/>
        <c:lblAlgn val="ctr"/>
        <c:lblOffset val="100"/>
        <c:noMultiLvlLbl val="0"/>
      </c:catAx>
      <c:valAx>
        <c:axId val="7050810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2987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0bcf01-f607-48bc-b031-687df85bb0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77470</xdr:colOff>
      <xdr:row>2</xdr:row>
      <xdr:rowOff>3175</xdr:rowOff>
    </xdr:from>
    <xdr:to>
      <xdr:col>10</xdr:col>
      <xdr:colOff>577850</xdr:colOff>
      <xdr:row>21</xdr:row>
      <xdr:rowOff>59055</xdr:rowOff>
    </xdr:to>
    <xdr:graphicFrame>
      <xdr:nvGraphicFramePr>
        <xdr:cNvPr id="6" name="Chart 5"/>
        <xdr:cNvGraphicFramePr/>
      </xdr:nvGraphicFramePr>
      <xdr:xfrm>
        <a:off x="3366770" y="371475"/>
        <a:ext cx="5472430" cy="3554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355600</xdr:colOff>
      <xdr:row>1</xdr:row>
      <xdr:rowOff>88900</xdr:rowOff>
    </xdr:from>
    <xdr:to>
      <xdr:col>10</xdr:col>
      <xdr:colOff>304800</xdr:colOff>
      <xdr:row>16</xdr:row>
      <xdr:rowOff>69850</xdr:rowOff>
    </xdr:to>
    <xdr:graphicFrame>
      <xdr:nvGraphicFramePr>
        <xdr:cNvPr id="2" name="Chart 1"/>
        <xdr:cNvGraphicFramePr/>
      </xdr:nvGraphicFramePr>
      <xdr:xfrm>
        <a:off x="2406650" y="273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9.5152083333" refreshedBy="ADMIN" recordCount="112">
  <cacheSource type="worksheet">
    <worksheetSource ref="A1:K110" sheet="Excel_jumia (1) (1)"/>
  </cacheSource>
  <cacheFields count="11">
    <cacheField name="Product" numFmtId="0">
      <sharedItems containsBlank="1" count="110">
        <s v="115  Piece Set Of Multifunctional Precision Screwdrivers"/>
        <s v="Metal Decorative Hooks Key Hangers Entryway Wall Hooks Towel Hooks - Home"/>
        <s v="Portable Mini Cordless Car Vacuum Cleaner - Blue"/>
        <s v="Weighing Scale Digital Bathroom Body Fat Scale USB-Black"/>
        <s v="Portable Home Small Air Humidifier 3-Speed Fan - Green"/>
        <s v="220V 60W Electric Soldering Iron Kits With Tools, Tips, And Multimeter"/>
        <s v="137 Pieces Cake Decorating Tool Set Baking Supplies"/>
        <s v="Desk Foldable Fan Adjustable Fan Strong Wind 3 Gear Usb"/>
        <s v="LASA FOLDING TABLE SERVING STAND"/>
        <s v="13 In 1 Home Repair Tools Box Kit Set"/>
        <s v="Genebre 115 In 1 Screwdriver Repairing Tool Set For IPhone Cellphone Hand Tool"/>
        <s v="100 Pcs Crochet Hook Tool Set Knitting Hook Set With Box"/>
        <s v="40cm Gold DIY Acrylic Wall Sticker Clock"/>
        <s v="LASA Digital Thermometer And Hydrometer"/>
        <s v="Multifunction Laser Level With Adjustment Tripod"/>
        <s v="Anti-Skid Absorbent Insulation Coaster  For Home Office"/>
        <s v="Peacock  Throw Pillow Cushion Case For Home Car"/>
        <s v="LASA Aluminum Folding Truck Hand Cart - 68kg Max"/>
        <s v="LED Wall Digital Alarm Clock Study Home 12 / 24H Clock Calendar"/>
        <s v="3D Waterproof EVA Plastic Shower Curtain 1.8*2Mtrs"/>
        <s v="3PCS Single Head Knitting Crochet Sweater Needle Set"/>
        <s v="4pcs Bathroom/Kitchen Towel Rack,Roll Paper Holder,Towel Bars,Hook"/>
        <s v="LED Romantic Spaceship Starry Sky Projector,Children's Bedroom Night Light-Blue"/>
        <s v="Foldable Overbed Table/Desk"/>
        <s v="LASA 3 Tier Bamboo Shoe Bench Storage Shelf"/>
        <s v="Electronic Digital Display Vernier Caliper"/>
        <s v="Portable Wardrobe Nonwoven With 3 Hanging Rods And 6 Storage Shelves"/>
        <s v="12 Litre Black Insulated Lunch Box"/>
        <s v="52 Pieces Cake Decorating Tool Set Gift Kit Baking Supplies"/>
        <s v="MultiFunctional Storage Rack Multi-layer Bookshelf"/>
        <s v="Exfoliate And Exfoliate Face Towel - Black"/>
        <s v="12 Litre Insulated Lunch Box Grey"/>
        <s v="LED Eye Protection  Desk Lamp , Study, Reading, USB Fan - Double Pen Holder"/>
        <s v="53Pcs/Set Yarn Knitting Crochet Hooks With Bag - Fortune Cat"/>
        <s v="53 Pieces/Set Yarn Knitting Crochet Hooks With Bag - Pansies"/>
        <s v="DIY File Folder, Office Drawer File Holder, Pen Holder, Desktop Storage Rack"/>
        <s v="Classic Black Cat Cotton Hemp Pillow Case For Home Car"/>
        <s v="Punch-free Great Load Bearing Bathroom Storage Rack Wall Shelf-White"/>
        <s v="1/2/3 Seater Elastic Sofa Cover,Living Room/Home Decor Chair Cover-Grey"/>
        <s v="LASA Stainless Steel Double Wall Mount Soap Dispenser - 500ml"/>
        <s v="4M Float Switch Water Level Controller -Water Tank"/>
        <s v="Modern Sofa Throw Pillow Cover-45x45cm-Blue&amp;Red"/>
        <s v="Balloon Insert, Birthday Party Balloon Set, PU Leather"/>
        <s v="Shower Cap Wide Elastic Band Cover Reusable Bashroom Cap"/>
        <s v="Christmas Elk Fence Yard Lawn Decorations Cute For Holidays"/>
        <s v="60W Hot Melt Glue Sprayer - Efficient And Stable Glue Dispensing"/>
        <s v="Car Phone Charging Stand"/>
        <s v="2pcs Solar Street Light Flood Light Outdoor"/>
        <s v="Creative Owl Shape Keychain Black"/>
        <s v="Brush &amp; Paintbrush Cleaning Tool Pink"/>
        <s v="Pen Grips For Kids Pen Grip Posture Correction Tool For Kids"/>
        <s v="Pilates Cloth Bag Waterproof Durable High Capacity Purple"/>
        <s v="Multi-purpose Rice Drainage Basket And Fruit And Vegetable Drainage Sieve"/>
        <s v="Cute Christmas Fence Garden Decorations For Holiday Home"/>
        <s v="Simple Metal Dog Art Sculpture Decoration For Home Office"/>
        <s v="Christmas Fence Garden Decorations Outdoor For Holiday Home"/>
        <s v="Angle Measuring Tool Full Metal Multi Angle Measuring Tool"/>
        <s v="12V 19500rpm Handheld Electric Angle Grinder Tool - UK - Yellow/Black"/>
        <s v="5 Pieces/set Of Stainless Steel Induction Cooker Pots"/>
        <s v="Mythco 120COB Solar Wall Ligt With Motion Sensor And Remote Control 3 Modes"/>
        <s v="5-PCS Stainless Steel Cooking Pot Set With Steamed Slices"/>
        <s v="120W Cordless Vacuum Cleaners Handheld Electric Vacuum Cleaner"/>
        <s v="Intelligent  LED Body Sensor Wireless Lighting Night Light USB"/>
        <s v="VIC Wireless Vacuum Cleaner Dual Use For Home And Car 120W High Power Powerful"/>
        <s v="Artificial Potted Flowers Room Decorative Flowers (2 Pieces)"/>
        <s v="380ML USB Rechargeable Portable Small Blenders And Juicers"/>
        <s v="32PCS Portable Cordless Drill Set With Cyclic Battery Drive -26 Variable Speed"/>
        <s v="Agapeon Toothbrush Holder And Toothpaste Dispenser"/>
        <s v="Large Lazy Inflatable Sofa Chairs PVC Lounger Seat Bag"/>
        <s v="Watercolour Gold Foil Textured Print Pillow Cover"/>
        <s v="Wrought Iron Bathroom Shelf Wall Mounted Free Punch Toilet Rack"/>
        <s v="7-piece Set Of Storage Bags, Travel Storage Bags, Shoe Bags"/>
        <s v="Electric LED UV Mosquito Killer Lamp, Outdoor/Indoor Fly Killer Trap Light -USB"/>
        <s v="2PCS/LOT Solar LED Outdoor Intelligent Light Controlled Wall Lamp"/>
        <s v="3PCS Rotary Scraper Thermomix For Kitchen"/>
        <s v="Cushion Silicone Butt Cushion Summer Ice Cushion Honeycomb Gel Cushion"/>
        <s v="7PCS Silicone Thumb Knife Finger Protector Vegetable Harvesting Knife"/>
        <s v="Memory Foam Neck Pillow Cover, With Pillow Core - 50*30cm"/>
        <s v="Bedroom Simple Floor Hanging Clothes Rack Single Pole Hat Rack - White"/>
        <s v="5m Waterproof Spherical LED String Lights Outdoor Ball Chain Lights Party Lighting Decoration Adjustable"/>
        <s v="2 Pairs Cowhide Split Leather Work Gloves.32℉ Or Above Welding Gloves"/>
        <s v="Household Pineapple Peeler Peeler"/>
        <s v="Office Chair Lumbar Back Support Spine Posture Correction Pillow Car Cushion"/>
        <s v="Cartoon Car Decoration Cute Individuality For Car Home Desk"/>
        <s v="Outdoor Portable Water Bottle With Medicine Box - 600ML - Black"/>
        <s v="Wall-Mounted Toothbrush Toothpaste Holder With Multiple Slots"/>
        <s v="Multifunctional Hanging Storage Box Storage Bag (4 Layers)"/>
        <s v="Wall Clock With Hidden Safe Box"/>
        <s v="Portable Wine Table With Folding Round Table"/>
        <s v="Sewing Machine Needle Threader Stitch Insertion Tool Automatic Quick Sewing"/>
        <s v="6 Layers Steel Pipe Assembling Dustproof Storage Shoe Cabinet"/>
        <s v="2PCS Ice Silk Square Cushion Cover Pillowcases - 65x65cm"/>
        <s v="Wall Mount Automatic Toothpaste Dispenser Toothbrush Holder Toothpaste Squeezer"/>
        <s v="Portable Soap Dispenser Kitchen Detergent Press Box Kitchen Tools"/>
        <s v="4 Piece Coloured Stainless Steel Kitchenware Set"/>
        <s v="Metal Wall Clock Silver Dial Crystal Jewelry Round Home Decoration Wall Clock"/>
        <s v="Baby Early Education Shape And Color Cognitive Training Toys"/>
        <s v="8in1 Screwdriver With LED Light"/>
        <s v="Konka Healty Electric Kettle, 24-hour Heat Preservation,1.5L,800W, White"/>
        <s v="9pcs Gas Mask, For Painting, Dust, Formaldehyde Grinding, Polishing"/>
        <s v="24 Grid Wall-mounted Sundries Organiser Fabric Closet Bag Storage Rack"/>
        <s v="1PC Refrigerator Food Seal Pocket Fridge Bags"/>
        <s v="LED Solar Street Light-fake Camera"/>
        <s v="Cartoon Embroidered Mini Towel Bear Cotton Wash Cloth Hand 4pcs"/>
        <s v="Shower Nozzle Cleaning Unclogging Needle Mini Crevice Small Hole Cleaning Brush"/>
        <s v="Thickening Multipurpose Non Stick Easy To Clean Heat Resistant Spoon Pad"/>
        <s v="6 In 1 Bottle Can Opener Multifunctional Easy Opener"/>
        <s v="Wall-mounted Sticker Punch-free Plug Fixer"/>
        <s v="Black Simple Water Cup Wine Coaster Anti Slip Absorbent"/>
        <m/>
      </sharedItems>
    </cacheField>
    <cacheField name="Current price" numFmtId="0">
      <sharedItems containsBlank="1" containsNumber="1" containsInteger="1" containsMixedTypes="1" count="101">
        <n v="950"/>
        <n v="527"/>
        <n v="2199"/>
        <n v="1580"/>
        <n v="1740"/>
        <n v="2999"/>
        <n v="2319"/>
        <n v="988"/>
        <n v="1274"/>
        <n v="1600"/>
        <n v="799"/>
        <n v="990"/>
        <n v="552"/>
        <n v="501"/>
        <n v="1680"/>
        <n v="332"/>
        <n v="195"/>
        <n v="2025"/>
        <n v="998"/>
        <n v="38"/>
        <n v="1860"/>
        <n v="880"/>
        <n v="1650"/>
        <n v="2048"/>
        <n v="420"/>
        <n v="2880"/>
        <n v="1350"/>
        <n v="1758"/>
        <n v="2200"/>
        <n v="185"/>
        <n v="980"/>
        <n v="1820"/>
        <n v="1940"/>
        <n v="1980"/>
        <n v="1620"/>
        <n v="171"/>
        <n v="389"/>
        <s v=" 1,620 -  1,980"/>
        <n v="2750"/>
        <n v="475"/>
        <n v="238"/>
        <n v="610"/>
        <n v="2132"/>
        <n v="999"/>
        <n v="1190"/>
        <n v="671"/>
        <n v="1200"/>
        <n v="199"/>
        <n v="299"/>
        <n v="1660"/>
        <n v="1459"/>
        <n v="499"/>
        <n v="699"/>
        <n v="2799"/>
        <n v="2170"/>
        <n v="458"/>
        <n v="2115"/>
        <n v="445"/>
        <n v="325"/>
        <n v="1220"/>
        <n v="1000"/>
        <n v="3750"/>
        <n v="382"/>
        <n v="2300"/>
        <n v="345"/>
        <n v="509"/>
        <n v="968"/>
        <n v="1570"/>
        <n v="790"/>
        <n v="690"/>
        <n v="1732"/>
        <n v="230"/>
        <n v="1189"/>
        <n v="979"/>
        <n v="1460"/>
        <n v="1666"/>
        <n v="330"/>
        <n v="1466"/>
        <n v="274"/>
        <n v="1468"/>
        <n v="630"/>
        <n v="850"/>
        <n v="1300"/>
        <n v="105"/>
        <n v="899"/>
        <n v="1526"/>
        <n v="1462"/>
        <n v="248"/>
        <n v="3546"/>
        <n v="525"/>
        <n v="1080"/>
        <n v="3640"/>
        <n v="1420"/>
        <n v="1875"/>
        <n v="198"/>
        <n v="1150"/>
        <n v="1658"/>
        <n v="1768"/>
        <n v="450"/>
        <n v="169"/>
        <m/>
      </sharedItems>
    </cacheField>
    <cacheField name="Old price" numFmtId="0">
      <sharedItems containsBlank="1" containsNumber="1" containsInteger="1" containsMixedTypes="1" count="91">
        <n v="1525"/>
        <n v="999"/>
        <n v="2923"/>
        <n v="2499"/>
        <n v="2356"/>
        <n v="3290"/>
        <n v="3032"/>
        <n v="1580"/>
        <n v="2800"/>
        <n v="2929"/>
        <n v="1500"/>
        <n v="1035"/>
        <n v="860"/>
        <n v="684"/>
        <n v="360"/>
        <n v="3971"/>
        <n v="3699"/>
        <n v="1966"/>
        <n v="80"/>
        <n v="3220"/>
        <n v="1350"/>
        <n v="2150"/>
        <n v="4500"/>
        <n v="647"/>
        <n v="3520"/>
        <n v="1990"/>
        <n v="4080"/>
        <n v="382"/>
        <n v="1490"/>
        <n v="3490"/>
        <n v="2650"/>
        <n v="2699"/>
        <n v="2690"/>
        <n v="656"/>
        <s v=" 2,200 -  3,200"/>
        <n v="4471"/>
        <n v="931"/>
        <n v="476"/>
        <n v="1060"/>
        <n v="2169"/>
        <n v="2000"/>
        <n v="1785"/>
        <n v="1316"/>
        <n v="1950"/>
        <n v="504"/>
        <n v="600"/>
        <n v="1699"/>
        <n v="384"/>
        <n v="1499"/>
        <n v="1343"/>
        <n v="900"/>
        <n v="1567"/>
        <n v="3810"/>
        <n v="2500"/>
        <n v="986"/>
        <n v="4700"/>
        <n v="873"/>
        <n v="680"/>
        <n v="1555"/>
        <n v="1814"/>
        <n v="6143"/>
        <n v="700"/>
        <n v="3240"/>
        <n v="602"/>
        <n v="899"/>
        <n v="2988"/>
        <n v="1485"/>
        <n v="1200"/>
        <n v="1799"/>
        <n v="450"/>
        <n v="2199"/>
        <n v="1920"/>
        <n v="2290"/>
        <n v="537"/>
        <n v="1100"/>
        <n v="1700"/>
        <n v="200"/>
        <n v="2400"/>
        <n v="1660"/>
        <n v="486"/>
        <n v="1029"/>
        <n v="1874"/>
        <n v="4588"/>
        <n v="2420"/>
        <n v="1899"/>
        <n v="260"/>
        <n v="1737"/>
        <n v="1810"/>
        <n v="553"/>
        <n v="320"/>
        <m/>
      </sharedItems>
    </cacheField>
    <cacheField name="Current Price updated" numFmtId="0">
      <sharedItems containsSemiMixedTypes="0" containsString="0" containsNumber="1" minValue="38" maxValue="3750" count="100">
        <n v="950"/>
        <n v="527"/>
        <n v="2199"/>
        <n v="1580"/>
        <n v="1740"/>
        <n v="2999"/>
        <n v="2319"/>
        <n v="988"/>
        <n v="1274"/>
        <n v="1600"/>
        <n v="799"/>
        <n v="990"/>
        <n v="552"/>
        <n v="501"/>
        <n v="1680"/>
        <n v="332"/>
        <n v="195"/>
        <n v="2025"/>
        <n v="998"/>
        <n v="38"/>
        <n v="1860"/>
        <n v="880"/>
        <n v="1650"/>
        <n v="2048"/>
        <n v="420"/>
        <n v="2880"/>
        <n v="1350"/>
        <n v="1758"/>
        <n v="2200"/>
        <n v="185"/>
        <n v="980"/>
        <n v="1820"/>
        <n v="1940"/>
        <n v="1980"/>
        <n v="1620"/>
        <n v="171"/>
        <n v="389"/>
        <n v="2750"/>
        <n v="475"/>
        <n v="238"/>
        <n v="610"/>
        <n v="2132"/>
        <n v="999"/>
        <n v="1190"/>
        <n v="671"/>
        <n v="1200"/>
        <n v="199"/>
        <n v="299"/>
        <n v="1660"/>
        <n v="1459"/>
        <n v="499"/>
        <n v="699"/>
        <n v="2799"/>
        <n v="2170"/>
        <n v="458"/>
        <n v="2115"/>
        <n v="445"/>
        <n v="325"/>
        <n v="1220"/>
        <n v="1000"/>
        <n v="3750"/>
        <n v="382"/>
        <n v="2300"/>
        <n v="345"/>
        <n v="509"/>
        <n v="968"/>
        <n v="1570"/>
        <n v="790"/>
        <n v="690"/>
        <n v="1732"/>
        <n v="230"/>
        <n v="1189"/>
        <n v="979"/>
        <n v="1460"/>
        <n v="1666"/>
        <n v="330"/>
        <n v="1466"/>
        <n v="274"/>
        <n v="1468"/>
        <n v="630"/>
        <n v="850"/>
        <n v="1300"/>
        <n v="105"/>
        <n v="899"/>
        <n v="1526"/>
        <n v="1462"/>
        <n v="248"/>
        <n v="3546"/>
        <n v="525"/>
        <n v="1080"/>
        <n v="3640"/>
        <n v="1420"/>
        <n v="1875"/>
        <n v="198"/>
        <n v="1150"/>
        <n v="1658"/>
        <n v="1768"/>
        <n v="450"/>
        <n v="169"/>
        <n v="1206.60550458716"/>
      </sharedItems>
    </cacheField>
    <cacheField name="Old Price updated" numFmtId="0">
      <sharedItems containsString="0" containsBlank="1" containsNumber="1" minValue="80" maxValue="6143" count="92">
        <n v="1525"/>
        <n v="999"/>
        <n v="2923"/>
        <n v="2499"/>
        <n v="2356"/>
        <n v="3290"/>
        <n v="3032"/>
        <n v="1580"/>
        <n v="2800"/>
        <n v="2929"/>
        <n v="1500"/>
        <n v="1035"/>
        <n v="860"/>
        <n v="684"/>
        <n v="360"/>
        <n v="3971"/>
        <n v="3699"/>
        <n v="1966"/>
        <n v="80"/>
        <n v="3220"/>
        <n v="1350"/>
        <n v="2150"/>
        <n v="4500"/>
        <n v="647"/>
        <n v="3520"/>
        <n v="1990"/>
        <n v="4080"/>
        <n v="382"/>
        <n v="1490"/>
        <n v="3490"/>
        <n v="2650"/>
        <n v="2699"/>
        <n v="2690"/>
        <n v="656"/>
        <n v="2200"/>
        <n v="4471"/>
        <n v="931"/>
        <n v="476"/>
        <n v="1060"/>
        <n v="2169"/>
        <n v="2000"/>
        <n v="1785"/>
        <n v="1316"/>
        <n v="1950"/>
        <n v="504"/>
        <n v="600"/>
        <n v="1699"/>
        <n v="384"/>
        <n v="1499"/>
        <n v="1343"/>
        <n v="900"/>
        <n v="1567"/>
        <n v="3810"/>
        <n v="2500"/>
        <n v="986"/>
        <n v="4700"/>
        <n v="873"/>
        <n v="680"/>
        <n v="1555"/>
        <n v="1814"/>
        <n v="6143"/>
        <n v="700"/>
        <n v="3240"/>
        <n v="602"/>
        <n v="899"/>
        <n v="2988"/>
        <n v="1485"/>
        <n v="1200"/>
        <n v="1799"/>
        <n v="450"/>
        <n v="2199"/>
        <n v="1920"/>
        <n v="2290"/>
        <n v="537"/>
        <n v="1100"/>
        <n v="1700"/>
        <n v="200"/>
        <n v="2400"/>
        <n v="1660"/>
        <n v="486"/>
        <n v="1029"/>
        <n v="1874"/>
        <n v="4588"/>
        <n v="2420"/>
        <n v="1899"/>
        <n v="260"/>
        <n v="1737"/>
        <n v="1810"/>
        <n v="553"/>
        <n v="320"/>
        <n v="1833.16513761468"/>
        <m/>
      </sharedItems>
    </cacheField>
    <cacheField name="Discount" numFmtId="0">
      <sharedItems containsString="0" containsBlank="1" containsNumber="1" minValue="0.01" maxValue="0.64" count="48">
        <n v="0.38"/>
        <n v="0.47"/>
        <n v="0.25"/>
        <n v="0.37"/>
        <n v="0.26"/>
        <n v="0.09"/>
        <n v="0.24"/>
        <n v="0.55"/>
        <n v="0.45"/>
        <n v="0.2"/>
        <n v="0.34"/>
        <n v="0.42"/>
        <n v="0.33"/>
        <n v="0.51"/>
        <n v="0.46"/>
        <n v="0.49"/>
        <n v="0.19"/>
        <n v="0.53"/>
        <n v="0.35"/>
        <n v="0.23"/>
        <n v="0.54"/>
        <n v="0.18"/>
        <n v="0.32"/>
        <n v="0.3"/>
        <n v="0.52"/>
        <n v="0.48"/>
        <n v="0.27"/>
        <n v="0.4"/>
        <n v="0.41"/>
        <n v="0.5"/>
        <n v="0.02"/>
        <n v="0.61"/>
        <n v="0.22"/>
        <n v="0.03"/>
        <n v="0.13"/>
        <n v="0.39"/>
        <n v="0.29"/>
        <n v="0.43"/>
        <n v="0.04"/>
        <n v="0.36"/>
        <n v="0.14"/>
        <n v="0.11"/>
        <n v="0.08"/>
        <n v="0.21"/>
        <n v="0.01"/>
        <n v="0.64"/>
        <n v="0.363853211009174"/>
        <m/>
      </sharedItems>
      <fieldGroup base="5">
        <rangePr autoStart="0" autoEnd="0" startNum="0" endNum="1" groupInterval="0.1"/>
        <groupItems count="12">
          <s v="&lt;0 Or (blank)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Review" numFmtId="0">
      <sharedItems containsString="0" containsBlank="1" containsNumber="1" containsInteger="1" minValue="0" maxValue="69" count="25">
        <n v="2"/>
        <n v="14"/>
        <n v="24"/>
        <n v="7"/>
        <n v="5"/>
        <n v="15"/>
        <n v="55"/>
        <n v="12"/>
        <n v="39"/>
        <n v="6"/>
        <n v="9"/>
        <n v="3"/>
        <n v="44"/>
        <n v="13"/>
        <n v="0"/>
        <n v="49"/>
        <n v="20"/>
        <n v="32"/>
        <n v="1"/>
        <n v="36"/>
        <n v="10"/>
        <n v="69"/>
        <n v="16"/>
        <n v="17"/>
        <m/>
      </sharedItems>
    </cacheField>
    <cacheField name="Rating" numFmtId="0">
      <sharedItems containsString="0" containsBlank="1" containsNumber="1" minValue="0" maxValue="5" count="25">
        <n v="4.5"/>
        <n v="4.1"/>
        <n v="4.6"/>
        <n v="4.7"/>
        <n v="4.8"/>
        <n v="4"/>
        <n v="3.8"/>
        <n v="4.2"/>
        <n v="5"/>
        <n v="3.3"/>
        <n v="0"/>
        <n v="4.4"/>
        <n v="4.3"/>
        <n v="2.5"/>
        <n v="3"/>
        <n v="2.1"/>
        <n v="2.8"/>
        <n v="2.7"/>
        <n v="2.9"/>
        <n v="2.2"/>
        <n v="2.3"/>
        <n v="2.6"/>
        <n v="2"/>
        <n v="2.03394495412844"/>
        <m/>
      </sharedItems>
      <fieldGroup base="7">
        <rangePr autoEnd="0" startNum="0" endNum="1" groupInterval="5"/>
        <groupItems count="3">
          <s v="(blank)"/>
          <s v="0-5"/>
          <s v="&gt;5"/>
        </groupItems>
      </fieldGroup>
    </cacheField>
    <cacheField name="Discount Amount" numFmtId="0">
      <sharedItems containsString="0" containsBlank="1" containsNumber="1" containsInteger="1" minValue="24" maxValue="2585" count="101">
        <n v="575"/>
        <n v="472"/>
        <n v="724"/>
        <n v="919"/>
        <n v="616"/>
        <n v="291"/>
        <n v="713"/>
        <n v="592"/>
        <n v="1526"/>
        <n v="1329"/>
        <n v="200"/>
        <n v="510"/>
        <n v="483"/>
        <n v="359"/>
        <n v="819"/>
        <n v="352"/>
        <n v="165"/>
        <n v="1946"/>
        <n v="700"/>
        <n v="968"/>
        <n v="42"/>
        <n v="1360"/>
        <n v="470"/>
        <n v="500"/>
        <n v="2452"/>
        <n v="227"/>
        <n v="640"/>
        <n v="741"/>
        <n v="1880"/>
        <n v="197"/>
        <n v="1670"/>
        <n v="710"/>
        <n v="719"/>
        <n v="1070"/>
        <n v="189"/>
        <n v="267"/>
        <n v="580"/>
        <n v="1721"/>
        <n v="456"/>
        <n v="238"/>
        <n v="450"/>
        <n v="37"/>
        <n v="1001"/>
        <n v="595"/>
        <n v="645"/>
        <n v="750"/>
        <n v="305"/>
        <n v="301"/>
        <n v="39"/>
        <n v="85"/>
        <n v="40"/>
        <n v="544"/>
        <n v="401"/>
        <n v="644"/>
        <n v="768"/>
        <n v="1011"/>
        <n v="330"/>
        <n v="528"/>
        <n v="2585"/>
        <n v="428"/>
        <n v="355"/>
        <n v="335"/>
        <n v="824"/>
        <n v="1000"/>
        <n v="2393"/>
        <n v="318"/>
        <n v="940"/>
        <n v="257"/>
        <n v="390"/>
        <n v="846"/>
        <n v="1418"/>
        <n v="695"/>
        <n v="67"/>
        <n v="220"/>
        <n v="1010"/>
        <n v="941"/>
        <n v="830"/>
        <n v="33"/>
        <n v="317"/>
        <n v="233"/>
        <n v="263"/>
        <n v="101"/>
        <n v="231"/>
        <n v="850"/>
        <n v="1200"/>
        <n v="95"/>
        <n v="800"/>
        <n v="134"/>
        <n v="153"/>
        <n v="504"/>
        <n v="794"/>
        <n v="948"/>
        <n v="24"/>
        <n v="62"/>
        <n v="587"/>
        <n v="620"/>
        <n v="41"/>
        <n v="31"/>
        <n v="354"/>
        <n v="151"/>
        <m/>
      </sharedItems>
    </cacheField>
    <cacheField name="Rating Category" numFmtId="0">
      <sharedItems containsBlank="1" count="4">
        <s v="Excellent"/>
        <s v="Average"/>
        <s v="Poor"/>
        <m/>
      </sharedItems>
    </cacheField>
    <cacheField name="Discount Category" numFmtId="0">
      <sharedItems containsBlank="1" count="4">
        <s v="Medium Discount"/>
        <s v="High Discount"/>
        <s v="Low Discount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0"/>
    <x v="0"/>
  </r>
  <r>
    <x v="3"/>
    <x v="3"/>
    <x v="3"/>
    <x v="3"/>
    <x v="3"/>
    <x v="3"/>
    <x v="3"/>
    <x v="3"/>
    <x v="3"/>
    <x v="0"/>
    <x v="0"/>
  </r>
  <r>
    <x v="4"/>
    <x v="4"/>
    <x v="4"/>
    <x v="4"/>
    <x v="4"/>
    <x v="4"/>
    <x v="4"/>
    <x v="4"/>
    <x v="4"/>
    <x v="0"/>
    <x v="0"/>
  </r>
  <r>
    <x v="5"/>
    <x v="5"/>
    <x v="5"/>
    <x v="5"/>
    <x v="5"/>
    <x v="5"/>
    <x v="5"/>
    <x v="5"/>
    <x v="5"/>
    <x v="1"/>
    <x v="2"/>
  </r>
  <r>
    <x v="6"/>
    <x v="6"/>
    <x v="6"/>
    <x v="6"/>
    <x v="6"/>
    <x v="6"/>
    <x v="6"/>
    <x v="2"/>
    <x v="6"/>
    <x v="0"/>
    <x v="0"/>
  </r>
  <r>
    <x v="7"/>
    <x v="7"/>
    <x v="7"/>
    <x v="7"/>
    <x v="7"/>
    <x v="3"/>
    <x v="0"/>
    <x v="5"/>
    <x v="7"/>
    <x v="1"/>
    <x v="0"/>
  </r>
  <r>
    <x v="8"/>
    <x v="8"/>
    <x v="8"/>
    <x v="8"/>
    <x v="8"/>
    <x v="7"/>
    <x v="4"/>
    <x v="4"/>
    <x v="8"/>
    <x v="0"/>
    <x v="1"/>
  </r>
  <r>
    <x v="9"/>
    <x v="9"/>
    <x v="9"/>
    <x v="9"/>
    <x v="9"/>
    <x v="8"/>
    <x v="4"/>
    <x v="6"/>
    <x v="9"/>
    <x v="1"/>
    <x v="1"/>
  </r>
  <r>
    <x v="10"/>
    <x v="10"/>
    <x v="1"/>
    <x v="10"/>
    <x v="1"/>
    <x v="9"/>
    <x v="7"/>
    <x v="1"/>
    <x v="10"/>
    <x v="1"/>
    <x v="0"/>
  </r>
  <r>
    <x v="11"/>
    <x v="11"/>
    <x v="10"/>
    <x v="11"/>
    <x v="10"/>
    <x v="10"/>
    <x v="8"/>
    <x v="3"/>
    <x v="11"/>
    <x v="0"/>
    <x v="0"/>
  </r>
  <r>
    <x v="12"/>
    <x v="12"/>
    <x v="11"/>
    <x v="12"/>
    <x v="11"/>
    <x v="1"/>
    <x v="7"/>
    <x v="4"/>
    <x v="12"/>
    <x v="0"/>
    <x v="1"/>
  </r>
  <r>
    <x v="13"/>
    <x v="13"/>
    <x v="12"/>
    <x v="13"/>
    <x v="12"/>
    <x v="11"/>
    <x v="9"/>
    <x v="0"/>
    <x v="13"/>
    <x v="0"/>
    <x v="1"/>
  </r>
  <r>
    <x v="14"/>
    <x v="14"/>
    <x v="3"/>
    <x v="14"/>
    <x v="3"/>
    <x v="12"/>
    <x v="10"/>
    <x v="7"/>
    <x v="14"/>
    <x v="1"/>
    <x v="0"/>
  </r>
  <r>
    <x v="15"/>
    <x v="15"/>
    <x v="13"/>
    <x v="15"/>
    <x v="13"/>
    <x v="13"/>
    <x v="0"/>
    <x v="8"/>
    <x v="15"/>
    <x v="0"/>
    <x v="1"/>
  </r>
  <r>
    <x v="16"/>
    <x v="16"/>
    <x v="14"/>
    <x v="16"/>
    <x v="14"/>
    <x v="14"/>
    <x v="0"/>
    <x v="8"/>
    <x v="16"/>
    <x v="0"/>
    <x v="1"/>
  </r>
  <r>
    <x v="17"/>
    <x v="17"/>
    <x v="15"/>
    <x v="17"/>
    <x v="15"/>
    <x v="15"/>
    <x v="11"/>
    <x v="8"/>
    <x v="17"/>
    <x v="0"/>
    <x v="1"/>
  </r>
  <r>
    <x v="18"/>
    <x v="5"/>
    <x v="16"/>
    <x v="5"/>
    <x v="16"/>
    <x v="16"/>
    <x v="4"/>
    <x v="2"/>
    <x v="18"/>
    <x v="0"/>
    <x v="2"/>
  </r>
  <r>
    <x v="19"/>
    <x v="18"/>
    <x v="17"/>
    <x v="18"/>
    <x v="17"/>
    <x v="15"/>
    <x v="12"/>
    <x v="2"/>
    <x v="19"/>
    <x v="0"/>
    <x v="1"/>
  </r>
  <r>
    <x v="20"/>
    <x v="19"/>
    <x v="18"/>
    <x v="19"/>
    <x v="18"/>
    <x v="17"/>
    <x v="13"/>
    <x v="9"/>
    <x v="20"/>
    <x v="1"/>
    <x v="1"/>
  </r>
  <r>
    <x v="21"/>
    <x v="20"/>
    <x v="19"/>
    <x v="20"/>
    <x v="19"/>
    <x v="11"/>
    <x v="14"/>
    <x v="10"/>
    <x v="21"/>
    <x v="2"/>
    <x v="1"/>
  </r>
  <r>
    <x v="22"/>
    <x v="21"/>
    <x v="20"/>
    <x v="21"/>
    <x v="20"/>
    <x v="18"/>
    <x v="9"/>
    <x v="5"/>
    <x v="22"/>
    <x v="1"/>
    <x v="0"/>
  </r>
  <r>
    <x v="23"/>
    <x v="22"/>
    <x v="21"/>
    <x v="22"/>
    <x v="21"/>
    <x v="19"/>
    <x v="1"/>
    <x v="11"/>
    <x v="23"/>
    <x v="1"/>
    <x v="0"/>
  </r>
  <r>
    <x v="24"/>
    <x v="23"/>
    <x v="22"/>
    <x v="23"/>
    <x v="22"/>
    <x v="20"/>
    <x v="3"/>
    <x v="12"/>
    <x v="24"/>
    <x v="1"/>
    <x v="1"/>
  </r>
  <r>
    <x v="25"/>
    <x v="24"/>
    <x v="23"/>
    <x v="24"/>
    <x v="23"/>
    <x v="18"/>
    <x v="15"/>
    <x v="2"/>
    <x v="25"/>
    <x v="0"/>
    <x v="0"/>
  </r>
  <r>
    <x v="26"/>
    <x v="25"/>
    <x v="24"/>
    <x v="25"/>
    <x v="24"/>
    <x v="21"/>
    <x v="7"/>
    <x v="6"/>
    <x v="26"/>
    <x v="1"/>
    <x v="2"/>
  </r>
  <r>
    <x v="27"/>
    <x v="26"/>
    <x v="25"/>
    <x v="26"/>
    <x v="25"/>
    <x v="22"/>
    <x v="13"/>
    <x v="6"/>
    <x v="26"/>
    <x v="1"/>
    <x v="0"/>
  </r>
  <r>
    <x v="28"/>
    <x v="27"/>
    <x v="3"/>
    <x v="27"/>
    <x v="3"/>
    <x v="23"/>
    <x v="16"/>
    <x v="1"/>
    <x v="27"/>
    <x v="1"/>
    <x v="0"/>
  </r>
  <r>
    <x v="29"/>
    <x v="28"/>
    <x v="26"/>
    <x v="28"/>
    <x v="26"/>
    <x v="14"/>
    <x v="14"/>
    <x v="10"/>
    <x v="28"/>
    <x v="2"/>
    <x v="1"/>
  </r>
  <r>
    <x v="30"/>
    <x v="29"/>
    <x v="27"/>
    <x v="29"/>
    <x v="27"/>
    <x v="24"/>
    <x v="10"/>
    <x v="12"/>
    <x v="29"/>
    <x v="1"/>
    <x v="1"/>
  </r>
  <r>
    <x v="31"/>
    <x v="30"/>
    <x v="28"/>
    <x v="30"/>
    <x v="28"/>
    <x v="10"/>
    <x v="7"/>
    <x v="3"/>
    <x v="11"/>
    <x v="0"/>
    <x v="0"/>
  </r>
  <r>
    <x v="32"/>
    <x v="31"/>
    <x v="29"/>
    <x v="31"/>
    <x v="29"/>
    <x v="25"/>
    <x v="10"/>
    <x v="12"/>
    <x v="30"/>
    <x v="1"/>
    <x v="1"/>
  </r>
  <r>
    <x v="33"/>
    <x v="32"/>
    <x v="30"/>
    <x v="32"/>
    <x v="30"/>
    <x v="26"/>
    <x v="16"/>
    <x v="3"/>
    <x v="31"/>
    <x v="0"/>
    <x v="0"/>
  </r>
  <r>
    <x v="34"/>
    <x v="33"/>
    <x v="31"/>
    <x v="33"/>
    <x v="31"/>
    <x v="26"/>
    <x v="17"/>
    <x v="0"/>
    <x v="32"/>
    <x v="0"/>
    <x v="0"/>
  </r>
  <r>
    <x v="35"/>
    <x v="34"/>
    <x v="32"/>
    <x v="34"/>
    <x v="32"/>
    <x v="27"/>
    <x v="18"/>
    <x v="8"/>
    <x v="33"/>
    <x v="0"/>
    <x v="0"/>
  </r>
  <r>
    <x v="36"/>
    <x v="35"/>
    <x v="14"/>
    <x v="35"/>
    <x v="14"/>
    <x v="17"/>
    <x v="0"/>
    <x v="8"/>
    <x v="34"/>
    <x v="0"/>
    <x v="1"/>
  </r>
  <r>
    <x v="37"/>
    <x v="36"/>
    <x v="33"/>
    <x v="36"/>
    <x v="33"/>
    <x v="28"/>
    <x v="19"/>
    <x v="12"/>
    <x v="35"/>
    <x v="1"/>
    <x v="1"/>
  </r>
  <r>
    <x v="38"/>
    <x v="37"/>
    <x v="34"/>
    <x v="34"/>
    <x v="34"/>
    <x v="0"/>
    <x v="0"/>
    <x v="0"/>
    <x v="36"/>
    <x v="0"/>
    <x v="0"/>
  </r>
  <r>
    <x v="39"/>
    <x v="38"/>
    <x v="35"/>
    <x v="37"/>
    <x v="35"/>
    <x v="0"/>
    <x v="14"/>
    <x v="10"/>
    <x v="37"/>
    <x v="2"/>
    <x v="0"/>
  </r>
  <r>
    <x v="40"/>
    <x v="39"/>
    <x v="36"/>
    <x v="38"/>
    <x v="36"/>
    <x v="15"/>
    <x v="14"/>
    <x v="10"/>
    <x v="38"/>
    <x v="2"/>
    <x v="1"/>
  </r>
  <r>
    <x v="41"/>
    <x v="40"/>
    <x v="37"/>
    <x v="39"/>
    <x v="37"/>
    <x v="29"/>
    <x v="14"/>
    <x v="10"/>
    <x v="39"/>
    <x v="2"/>
    <x v="1"/>
  </r>
  <r>
    <x v="42"/>
    <x v="41"/>
    <x v="38"/>
    <x v="40"/>
    <x v="38"/>
    <x v="11"/>
    <x v="14"/>
    <x v="10"/>
    <x v="40"/>
    <x v="2"/>
    <x v="1"/>
  </r>
  <r>
    <x v="43"/>
    <x v="42"/>
    <x v="39"/>
    <x v="41"/>
    <x v="39"/>
    <x v="30"/>
    <x v="14"/>
    <x v="10"/>
    <x v="41"/>
    <x v="2"/>
    <x v="2"/>
  </r>
  <r>
    <x v="44"/>
    <x v="43"/>
    <x v="40"/>
    <x v="42"/>
    <x v="40"/>
    <x v="29"/>
    <x v="14"/>
    <x v="10"/>
    <x v="42"/>
    <x v="2"/>
    <x v="1"/>
  </r>
  <r>
    <x v="45"/>
    <x v="44"/>
    <x v="41"/>
    <x v="43"/>
    <x v="41"/>
    <x v="12"/>
    <x v="14"/>
    <x v="10"/>
    <x v="43"/>
    <x v="2"/>
    <x v="0"/>
  </r>
  <r>
    <x v="46"/>
    <x v="45"/>
    <x v="42"/>
    <x v="44"/>
    <x v="42"/>
    <x v="15"/>
    <x v="14"/>
    <x v="10"/>
    <x v="44"/>
    <x v="2"/>
    <x v="1"/>
  </r>
  <r>
    <x v="47"/>
    <x v="46"/>
    <x v="43"/>
    <x v="45"/>
    <x v="43"/>
    <x v="0"/>
    <x v="14"/>
    <x v="10"/>
    <x v="45"/>
    <x v="2"/>
    <x v="0"/>
  </r>
  <r>
    <x v="48"/>
    <x v="47"/>
    <x v="44"/>
    <x v="46"/>
    <x v="44"/>
    <x v="31"/>
    <x v="14"/>
    <x v="10"/>
    <x v="46"/>
    <x v="2"/>
    <x v="1"/>
  </r>
  <r>
    <x v="49"/>
    <x v="48"/>
    <x v="45"/>
    <x v="47"/>
    <x v="45"/>
    <x v="29"/>
    <x v="14"/>
    <x v="10"/>
    <x v="47"/>
    <x v="2"/>
    <x v="1"/>
  </r>
  <r>
    <x v="50"/>
    <x v="49"/>
    <x v="46"/>
    <x v="48"/>
    <x v="46"/>
    <x v="30"/>
    <x v="14"/>
    <x v="10"/>
    <x v="48"/>
    <x v="2"/>
    <x v="2"/>
  </r>
  <r>
    <x v="51"/>
    <x v="48"/>
    <x v="47"/>
    <x v="47"/>
    <x v="47"/>
    <x v="32"/>
    <x v="14"/>
    <x v="10"/>
    <x v="49"/>
    <x v="2"/>
    <x v="0"/>
  </r>
  <r>
    <x v="52"/>
    <x v="50"/>
    <x v="48"/>
    <x v="49"/>
    <x v="48"/>
    <x v="33"/>
    <x v="14"/>
    <x v="10"/>
    <x v="50"/>
    <x v="2"/>
    <x v="2"/>
  </r>
  <r>
    <x v="53"/>
    <x v="10"/>
    <x v="49"/>
    <x v="10"/>
    <x v="49"/>
    <x v="28"/>
    <x v="14"/>
    <x v="10"/>
    <x v="51"/>
    <x v="2"/>
    <x v="1"/>
  </r>
  <r>
    <x v="54"/>
    <x v="51"/>
    <x v="50"/>
    <x v="50"/>
    <x v="50"/>
    <x v="8"/>
    <x v="14"/>
    <x v="10"/>
    <x v="52"/>
    <x v="2"/>
    <x v="1"/>
  </r>
  <r>
    <x v="55"/>
    <x v="52"/>
    <x v="49"/>
    <x v="51"/>
    <x v="49"/>
    <x v="25"/>
    <x v="14"/>
    <x v="10"/>
    <x v="53"/>
    <x v="2"/>
    <x v="1"/>
  </r>
  <r>
    <x v="56"/>
    <x v="10"/>
    <x v="51"/>
    <x v="10"/>
    <x v="51"/>
    <x v="15"/>
    <x v="14"/>
    <x v="10"/>
    <x v="54"/>
    <x v="2"/>
    <x v="1"/>
  </r>
  <r>
    <x v="57"/>
    <x v="53"/>
    <x v="52"/>
    <x v="52"/>
    <x v="52"/>
    <x v="26"/>
    <x v="14"/>
    <x v="10"/>
    <x v="55"/>
    <x v="2"/>
    <x v="0"/>
  </r>
  <r>
    <x v="58"/>
    <x v="54"/>
    <x v="53"/>
    <x v="53"/>
    <x v="53"/>
    <x v="34"/>
    <x v="9"/>
    <x v="13"/>
    <x v="56"/>
    <x v="2"/>
    <x v="2"/>
  </r>
  <r>
    <x v="59"/>
    <x v="55"/>
    <x v="54"/>
    <x v="54"/>
    <x v="54"/>
    <x v="20"/>
    <x v="20"/>
    <x v="14"/>
    <x v="57"/>
    <x v="1"/>
    <x v="1"/>
  </r>
  <r>
    <x v="60"/>
    <x v="56"/>
    <x v="55"/>
    <x v="55"/>
    <x v="55"/>
    <x v="7"/>
    <x v="13"/>
    <x v="15"/>
    <x v="58"/>
    <x v="2"/>
    <x v="1"/>
  </r>
  <r>
    <x v="61"/>
    <x v="57"/>
    <x v="56"/>
    <x v="56"/>
    <x v="56"/>
    <x v="15"/>
    <x v="21"/>
    <x v="16"/>
    <x v="59"/>
    <x v="2"/>
    <x v="1"/>
  </r>
  <r>
    <x v="62"/>
    <x v="58"/>
    <x v="57"/>
    <x v="57"/>
    <x v="57"/>
    <x v="24"/>
    <x v="5"/>
    <x v="17"/>
    <x v="60"/>
    <x v="2"/>
    <x v="1"/>
  </r>
  <r>
    <x v="63"/>
    <x v="59"/>
    <x v="58"/>
    <x v="58"/>
    <x v="58"/>
    <x v="32"/>
    <x v="22"/>
    <x v="18"/>
    <x v="61"/>
    <x v="2"/>
    <x v="0"/>
  </r>
  <r>
    <x v="64"/>
    <x v="11"/>
    <x v="59"/>
    <x v="11"/>
    <x v="59"/>
    <x v="8"/>
    <x v="9"/>
    <x v="19"/>
    <x v="62"/>
    <x v="2"/>
    <x v="1"/>
  </r>
  <r>
    <x v="65"/>
    <x v="60"/>
    <x v="40"/>
    <x v="59"/>
    <x v="40"/>
    <x v="29"/>
    <x v="3"/>
    <x v="20"/>
    <x v="63"/>
    <x v="2"/>
    <x v="1"/>
  </r>
  <r>
    <x v="66"/>
    <x v="61"/>
    <x v="60"/>
    <x v="60"/>
    <x v="60"/>
    <x v="35"/>
    <x v="4"/>
    <x v="14"/>
    <x v="64"/>
    <x v="1"/>
    <x v="0"/>
  </r>
  <r>
    <x v="67"/>
    <x v="62"/>
    <x v="61"/>
    <x v="61"/>
    <x v="61"/>
    <x v="8"/>
    <x v="23"/>
    <x v="21"/>
    <x v="65"/>
    <x v="2"/>
    <x v="1"/>
  </r>
  <r>
    <x v="68"/>
    <x v="63"/>
    <x v="62"/>
    <x v="62"/>
    <x v="62"/>
    <x v="36"/>
    <x v="4"/>
    <x v="14"/>
    <x v="66"/>
    <x v="1"/>
    <x v="0"/>
  </r>
  <r>
    <x v="69"/>
    <x v="64"/>
    <x v="63"/>
    <x v="63"/>
    <x v="63"/>
    <x v="37"/>
    <x v="9"/>
    <x v="20"/>
    <x v="67"/>
    <x v="2"/>
    <x v="1"/>
  </r>
  <r>
    <x v="70"/>
    <x v="65"/>
    <x v="64"/>
    <x v="64"/>
    <x v="64"/>
    <x v="37"/>
    <x v="4"/>
    <x v="14"/>
    <x v="68"/>
    <x v="1"/>
    <x v="1"/>
  </r>
  <r>
    <x v="71"/>
    <x v="66"/>
    <x v="59"/>
    <x v="65"/>
    <x v="59"/>
    <x v="1"/>
    <x v="9"/>
    <x v="19"/>
    <x v="69"/>
    <x v="2"/>
    <x v="1"/>
  </r>
  <r>
    <x v="72"/>
    <x v="67"/>
    <x v="65"/>
    <x v="66"/>
    <x v="65"/>
    <x v="1"/>
    <x v="3"/>
    <x v="15"/>
    <x v="70"/>
    <x v="2"/>
    <x v="1"/>
  </r>
  <r>
    <x v="73"/>
    <x v="68"/>
    <x v="66"/>
    <x v="67"/>
    <x v="66"/>
    <x v="1"/>
    <x v="14"/>
    <x v="10"/>
    <x v="71"/>
    <x v="2"/>
    <x v="1"/>
  </r>
  <r>
    <x v="74"/>
    <x v="69"/>
    <x v="67"/>
    <x v="68"/>
    <x v="67"/>
    <x v="37"/>
    <x v="14"/>
    <x v="10"/>
    <x v="11"/>
    <x v="2"/>
    <x v="1"/>
  </r>
  <r>
    <x v="75"/>
    <x v="70"/>
    <x v="68"/>
    <x v="69"/>
    <x v="68"/>
    <x v="38"/>
    <x v="14"/>
    <x v="10"/>
    <x v="72"/>
    <x v="2"/>
    <x v="2"/>
  </r>
  <r>
    <x v="76"/>
    <x v="71"/>
    <x v="69"/>
    <x v="70"/>
    <x v="69"/>
    <x v="15"/>
    <x v="14"/>
    <x v="10"/>
    <x v="73"/>
    <x v="2"/>
    <x v="1"/>
  </r>
  <r>
    <x v="77"/>
    <x v="72"/>
    <x v="70"/>
    <x v="71"/>
    <x v="70"/>
    <x v="14"/>
    <x v="18"/>
    <x v="14"/>
    <x v="74"/>
    <x v="1"/>
    <x v="1"/>
  </r>
  <r>
    <x v="78"/>
    <x v="73"/>
    <x v="71"/>
    <x v="72"/>
    <x v="71"/>
    <x v="15"/>
    <x v="18"/>
    <x v="8"/>
    <x v="75"/>
    <x v="0"/>
    <x v="1"/>
  </r>
  <r>
    <x v="79"/>
    <x v="74"/>
    <x v="72"/>
    <x v="73"/>
    <x v="72"/>
    <x v="39"/>
    <x v="14"/>
    <x v="10"/>
    <x v="76"/>
    <x v="2"/>
    <x v="0"/>
  </r>
  <r>
    <x v="80"/>
    <x v="75"/>
    <x v="46"/>
    <x v="74"/>
    <x v="46"/>
    <x v="30"/>
    <x v="14"/>
    <x v="10"/>
    <x v="77"/>
    <x v="2"/>
    <x v="2"/>
  </r>
  <r>
    <x v="81"/>
    <x v="76"/>
    <x v="23"/>
    <x v="75"/>
    <x v="23"/>
    <x v="15"/>
    <x v="18"/>
    <x v="5"/>
    <x v="78"/>
    <x v="1"/>
    <x v="1"/>
  </r>
  <r>
    <x v="82"/>
    <x v="77"/>
    <x v="46"/>
    <x v="76"/>
    <x v="46"/>
    <x v="40"/>
    <x v="14"/>
    <x v="10"/>
    <x v="79"/>
    <x v="2"/>
    <x v="2"/>
  </r>
  <r>
    <x v="83"/>
    <x v="78"/>
    <x v="73"/>
    <x v="77"/>
    <x v="73"/>
    <x v="15"/>
    <x v="14"/>
    <x v="10"/>
    <x v="80"/>
    <x v="2"/>
    <x v="1"/>
  </r>
  <r>
    <x v="84"/>
    <x v="10"/>
    <x v="50"/>
    <x v="10"/>
    <x v="50"/>
    <x v="41"/>
    <x v="14"/>
    <x v="10"/>
    <x v="81"/>
    <x v="2"/>
    <x v="2"/>
  </r>
  <r>
    <x v="85"/>
    <x v="79"/>
    <x v="46"/>
    <x v="78"/>
    <x v="46"/>
    <x v="40"/>
    <x v="14"/>
    <x v="10"/>
    <x v="82"/>
    <x v="2"/>
    <x v="2"/>
  </r>
  <r>
    <x v="86"/>
    <x v="80"/>
    <x v="74"/>
    <x v="79"/>
    <x v="74"/>
    <x v="37"/>
    <x v="14"/>
    <x v="10"/>
    <x v="22"/>
    <x v="2"/>
    <x v="1"/>
  </r>
  <r>
    <x v="87"/>
    <x v="81"/>
    <x v="75"/>
    <x v="80"/>
    <x v="75"/>
    <x v="29"/>
    <x v="14"/>
    <x v="10"/>
    <x v="83"/>
    <x v="2"/>
    <x v="1"/>
  </r>
  <r>
    <x v="88"/>
    <x v="82"/>
    <x v="53"/>
    <x v="81"/>
    <x v="53"/>
    <x v="25"/>
    <x v="14"/>
    <x v="10"/>
    <x v="84"/>
    <x v="2"/>
    <x v="1"/>
  </r>
  <r>
    <x v="89"/>
    <x v="83"/>
    <x v="76"/>
    <x v="82"/>
    <x v="76"/>
    <x v="25"/>
    <x v="14"/>
    <x v="10"/>
    <x v="85"/>
    <x v="2"/>
    <x v="1"/>
  </r>
  <r>
    <x v="90"/>
    <x v="84"/>
    <x v="46"/>
    <x v="83"/>
    <x v="46"/>
    <x v="1"/>
    <x v="14"/>
    <x v="10"/>
    <x v="86"/>
    <x v="2"/>
    <x v="1"/>
  </r>
  <r>
    <x v="91"/>
    <x v="46"/>
    <x v="77"/>
    <x v="45"/>
    <x v="77"/>
    <x v="29"/>
    <x v="14"/>
    <x v="10"/>
    <x v="84"/>
    <x v="2"/>
    <x v="1"/>
  </r>
  <r>
    <x v="92"/>
    <x v="85"/>
    <x v="78"/>
    <x v="84"/>
    <x v="78"/>
    <x v="42"/>
    <x v="14"/>
    <x v="10"/>
    <x v="87"/>
    <x v="2"/>
    <x v="2"/>
  </r>
  <r>
    <x v="93"/>
    <x v="86"/>
    <x v="48"/>
    <x v="85"/>
    <x v="48"/>
    <x v="30"/>
    <x v="14"/>
    <x v="10"/>
    <x v="41"/>
    <x v="2"/>
    <x v="2"/>
  </r>
  <r>
    <x v="94"/>
    <x v="87"/>
    <x v="79"/>
    <x v="86"/>
    <x v="79"/>
    <x v="15"/>
    <x v="14"/>
    <x v="10"/>
    <x v="39"/>
    <x v="2"/>
    <x v="1"/>
  </r>
  <r>
    <x v="95"/>
    <x v="88"/>
    <x v="16"/>
    <x v="87"/>
    <x v="16"/>
    <x v="38"/>
    <x v="14"/>
    <x v="10"/>
    <x v="88"/>
    <x v="2"/>
    <x v="2"/>
  </r>
  <r>
    <x v="96"/>
    <x v="89"/>
    <x v="80"/>
    <x v="88"/>
    <x v="80"/>
    <x v="15"/>
    <x v="14"/>
    <x v="10"/>
    <x v="89"/>
    <x v="2"/>
    <x v="1"/>
  </r>
  <r>
    <x v="97"/>
    <x v="90"/>
    <x v="81"/>
    <x v="89"/>
    <x v="81"/>
    <x v="11"/>
    <x v="14"/>
    <x v="10"/>
    <x v="90"/>
    <x v="2"/>
    <x v="1"/>
  </r>
  <r>
    <x v="98"/>
    <x v="91"/>
    <x v="82"/>
    <x v="90"/>
    <x v="82"/>
    <x v="43"/>
    <x v="18"/>
    <x v="8"/>
    <x v="91"/>
    <x v="0"/>
    <x v="0"/>
  </r>
  <r>
    <x v="99"/>
    <x v="92"/>
    <x v="83"/>
    <x v="91"/>
    <x v="83"/>
    <x v="28"/>
    <x v="14"/>
    <x v="10"/>
    <x v="63"/>
    <x v="2"/>
    <x v="1"/>
  </r>
  <r>
    <x v="100"/>
    <x v="93"/>
    <x v="84"/>
    <x v="92"/>
    <x v="84"/>
    <x v="44"/>
    <x v="14"/>
    <x v="10"/>
    <x v="92"/>
    <x v="2"/>
    <x v="2"/>
  </r>
  <r>
    <x v="101"/>
    <x v="94"/>
    <x v="85"/>
    <x v="93"/>
    <x v="85"/>
    <x v="6"/>
    <x v="14"/>
    <x v="10"/>
    <x v="93"/>
    <x v="2"/>
    <x v="0"/>
  </r>
  <r>
    <x v="102"/>
    <x v="95"/>
    <x v="86"/>
    <x v="94"/>
    <x v="86"/>
    <x v="10"/>
    <x v="14"/>
    <x v="10"/>
    <x v="94"/>
    <x v="2"/>
    <x v="0"/>
  </r>
  <r>
    <x v="103"/>
    <x v="44"/>
    <x v="87"/>
    <x v="43"/>
    <x v="87"/>
    <x v="10"/>
    <x v="14"/>
    <x v="10"/>
    <x v="95"/>
    <x v="2"/>
    <x v="0"/>
  </r>
  <r>
    <x v="104"/>
    <x v="96"/>
    <x v="46"/>
    <x v="95"/>
    <x v="46"/>
    <x v="30"/>
    <x v="14"/>
    <x v="10"/>
    <x v="96"/>
    <x v="2"/>
    <x v="2"/>
  </r>
  <r>
    <x v="105"/>
    <x v="97"/>
    <x v="68"/>
    <x v="96"/>
    <x v="68"/>
    <x v="30"/>
    <x v="14"/>
    <x v="10"/>
    <x v="97"/>
    <x v="2"/>
    <x v="2"/>
  </r>
  <r>
    <x v="106"/>
    <x v="47"/>
    <x v="88"/>
    <x v="46"/>
    <x v="88"/>
    <x v="45"/>
    <x v="14"/>
    <x v="10"/>
    <x v="98"/>
    <x v="2"/>
    <x v="1"/>
  </r>
  <r>
    <x v="107"/>
    <x v="98"/>
    <x v="50"/>
    <x v="97"/>
    <x v="50"/>
    <x v="29"/>
    <x v="18"/>
    <x v="22"/>
    <x v="40"/>
    <x v="2"/>
    <x v="1"/>
  </r>
  <r>
    <x v="108"/>
    <x v="99"/>
    <x v="89"/>
    <x v="98"/>
    <x v="89"/>
    <x v="1"/>
    <x v="14"/>
    <x v="10"/>
    <x v="99"/>
    <x v="2"/>
    <x v="1"/>
  </r>
  <r>
    <x v="109"/>
    <x v="100"/>
    <x v="90"/>
    <x v="99"/>
    <x v="90"/>
    <x v="46"/>
    <x v="24"/>
    <x v="23"/>
    <x v="100"/>
    <x v="3"/>
    <x v="3"/>
  </r>
  <r>
    <x v="109"/>
    <x v="100"/>
    <x v="90"/>
    <x v="60"/>
    <x v="91"/>
    <x v="47"/>
    <x v="24"/>
    <x v="24"/>
    <x v="100"/>
    <x v="3"/>
    <x v="3"/>
  </r>
  <r>
    <x v="109"/>
    <x v="100"/>
    <x v="90"/>
    <x v="19"/>
    <x v="91"/>
    <x v="47"/>
    <x v="24"/>
    <x v="24"/>
    <x v="100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K18" firstHeaderRow="0" firstDataRow="1" firstDataCol="2"/>
  <pivotFields count="11">
    <pivotField dataField="1"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>
      <items count="102">
        <item x="19"/>
        <item x="83"/>
        <item x="99"/>
        <item x="35"/>
        <item x="29"/>
        <item x="16"/>
        <item x="94"/>
        <item x="47"/>
        <item x="71"/>
        <item x="40"/>
        <item x="87"/>
        <item x="78"/>
        <item x="48"/>
        <item x="58"/>
        <item x="76"/>
        <item x="15"/>
        <item x="64"/>
        <item x="62"/>
        <item x="36"/>
        <item x="24"/>
        <item x="57"/>
        <item x="98"/>
        <item x="55"/>
        <item x="39"/>
        <item x="51"/>
        <item x="13"/>
        <item x="65"/>
        <item x="89"/>
        <item x="1"/>
        <item x="12"/>
        <item x="41"/>
        <item x="80"/>
        <item x="45"/>
        <item x="69"/>
        <item x="52"/>
        <item x="68"/>
        <item x="10"/>
        <item x="81"/>
        <item x="21"/>
        <item x="84"/>
        <item x="0"/>
        <item x="66"/>
        <item x="73"/>
        <item x="30"/>
        <item x="7"/>
        <item x="11"/>
        <item x="18"/>
        <item x="43"/>
        <item x="60"/>
        <item x="90"/>
        <item x="95"/>
        <item x="72"/>
        <item x="44"/>
        <item x="46"/>
        <item x="59"/>
        <item x="8"/>
        <item x="82"/>
        <item x="26"/>
        <item x="92"/>
        <item x="50"/>
        <item x="74"/>
        <item x="86"/>
        <item x="77"/>
        <item x="79"/>
        <item x="85"/>
        <item x="67"/>
        <item x="3"/>
        <item x="9"/>
        <item x="34"/>
        <item x="22"/>
        <item x="96"/>
        <item x="49"/>
        <item x="75"/>
        <item x="14"/>
        <item x="70"/>
        <item x="4"/>
        <item x="27"/>
        <item x="97"/>
        <item x="31"/>
        <item x="20"/>
        <item x="93"/>
        <item x="32"/>
        <item x="33"/>
        <item x="17"/>
        <item x="23"/>
        <item x="56"/>
        <item x="42"/>
        <item x="54"/>
        <item x="2"/>
        <item x="28"/>
        <item x="63"/>
        <item x="6"/>
        <item x="38"/>
        <item x="53"/>
        <item x="25"/>
        <item x="5"/>
        <item x="88"/>
        <item x="91"/>
        <item x="61"/>
        <item x="37"/>
        <item x="100"/>
        <item t="default"/>
      </items>
    </pivotField>
    <pivotField compact="0" showAll="0">
      <items count="92">
        <item x="18"/>
        <item x="76"/>
        <item x="85"/>
        <item x="89"/>
        <item x="14"/>
        <item x="27"/>
        <item x="47"/>
        <item x="69"/>
        <item x="37"/>
        <item x="79"/>
        <item x="44"/>
        <item x="73"/>
        <item x="88"/>
        <item x="45"/>
        <item x="63"/>
        <item x="23"/>
        <item x="33"/>
        <item x="57"/>
        <item x="13"/>
        <item x="61"/>
        <item x="12"/>
        <item x="56"/>
        <item x="64"/>
        <item x="50"/>
        <item x="36"/>
        <item x="54"/>
        <item x="1"/>
        <item x="80"/>
        <item x="11"/>
        <item x="38"/>
        <item x="74"/>
        <item x="67"/>
        <item x="42"/>
        <item x="49"/>
        <item x="20"/>
        <item x="66"/>
        <item x="28"/>
        <item x="48"/>
        <item x="10"/>
        <item x="0"/>
        <item x="58"/>
        <item x="51"/>
        <item x="7"/>
        <item x="78"/>
        <item x="46"/>
        <item x="75"/>
        <item x="86"/>
        <item x="41"/>
        <item x="68"/>
        <item x="87"/>
        <item x="59"/>
        <item x="81"/>
        <item x="84"/>
        <item x="71"/>
        <item x="43"/>
        <item x="17"/>
        <item x="25"/>
        <item x="40"/>
        <item x="21"/>
        <item x="39"/>
        <item x="70"/>
        <item x="72"/>
        <item x="4"/>
        <item x="77"/>
        <item x="83"/>
        <item x="3"/>
        <item x="53"/>
        <item x="30"/>
        <item x="32"/>
        <item x="31"/>
        <item x="8"/>
        <item x="2"/>
        <item x="9"/>
        <item x="65"/>
        <item x="6"/>
        <item x="19"/>
        <item x="62"/>
        <item x="5"/>
        <item x="29"/>
        <item x="24"/>
        <item x="16"/>
        <item x="52"/>
        <item x="15"/>
        <item x="26"/>
        <item x="35"/>
        <item x="22"/>
        <item x="82"/>
        <item x="55"/>
        <item x="60"/>
        <item x="34"/>
        <item x="90"/>
        <item t="default"/>
      </items>
    </pivotField>
    <pivotField dataField="1" compact="0" showAll="0">
      <items count="101">
        <item x="19"/>
        <item x="82"/>
        <item x="98"/>
        <item x="35"/>
        <item x="29"/>
        <item x="16"/>
        <item x="93"/>
        <item x="46"/>
        <item x="70"/>
        <item x="39"/>
        <item x="86"/>
        <item x="77"/>
        <item x="47"/>
        <item x="57"/>
        <item x="75"/>
        <item x="15"/>
        <item x="63"/>
        <item x="61"/>
        <item x="36"/>
        <item x="24"/>
        <item x="56"/>
        <item x="97"/>
        <item x="54"/>
        <item x="38"/>
        <item x="50"/>
        <item x="13"/>
        <item x="64"/>
        <item x="88"/>
        <item x="1"/>
        <item x="12"/>
        <item x="40"/>
        <item x="79"/>
        <item x="44"/>
        <item x="68"/>
        <item x="51"/>
        <item x="67"/>
        <item x="10"/>
        <item x="80"/>
        <item x="21"/>
        <item x="83"/>
        <item x="0"/>
        <item x="65"/>
        <item x="72"/>
        <item x="30"/>
        <item x="7"/>
        <item x="11"/>
        <item x="18"/>
        <item x="42"/>
        <item x="59"/>
        <item x="89"/>
        <item x="94"/>
        <item x="71"/>
        <item x="43"/>
        <item x="45"/>
        <item x="99"/>
        <item x="58"/>
        <item x="8"/>
        <item x="81"/>
        <item x="26"/>
        <item x="91"/>
        <item x="49"/>
        <item x="73"/>
        <item x="85"/>
        <item x="76"/>
        <item x="78"/>
        <item x="84"/>
        <item x="66"/>
        <item x="3"/>
        <item x="9"/>
        <item x="34"/>
        <item x="22"/>
        <item x="95"/>
        <item x="48"/>
        <item x="74"/>
        <item x="14"/>
        <item x="69"/>
        <item x="4"/>
        <item x="27"/>
        <item x="96"/>
        <item x="31"/>
        <item x="20"/>
        <item x="92"/>
        <item x="32"/>
        <item x="33"/>
        <item x="17"/>
        <item x="23"/>
        <item x="55"/>
        <item x="41"/>
        <item x="53"/>
        <item x="2"/>
        <item x="28"/>
        <item x="62"/>
        <item x="6"/>
        <item x="37"/>
        <item x="52"/>
        <item x="25"/>
        <item x="5"/>
        <item x="87"/>
        <item x="90"/>
        <item x="60"/>
        <item t="default"/>
      </items>
    </pivotField>
    <pivotField dataField="1" compact="0" showAll="0">
      <items count="93">
        <item x="18"/>
        <item x="76"/>
        <item x="85"/>
        <item x="89"/>
        <item x="14"/>
        <item x="27"/>
        <item x="47"/>
        <item x="69"/>
        <item x="37"/>
        <item x="79"/>
        <item x="44"/>
        <item x="73"/>
        <item x="88"/>
        <item x="45"/>
        <item x="63"/>
        <item x="23"/>
        <item x="33"/>
        <item x="57"/>
        <item x="13"/>
        <item x="61"/>
        <item x="12"/>
        <item x="56"/>
        <item x="64"/>
        <item x="50"/>
        <item x="36"/>
        <item x="54"/>
        <item x="1"/>
        <item x="80"/>
        <item x="11"/>
        <item x="38"/>
        <item x="74"/>
        <item x="67"/>
        <item x="42"/>
        <item x="49"/>
        <item x="20"/>
        <item x="66"/>
        <item x="28"/>
        <item x="48"/>
        <item x="10"/>
        <item x="0"/>
        <item x="58"/>
        <item x="51"/>
        <item x="7"/>
        <item x="78"/>
        <item x="46"/>
        <item x="75"/>
        <item x="86"/>
        <item x="41"/>
        <item x="68"/>
        <item x="87"/>
        <item x="59"/>
        <item x="90"/>
        <item x="81"/>
        <item x="84"/>
        <item x="71"/>
        <item x="43"/>
        <item x="17"/>
        <item x="25"/>
        <item x="40"/>
        <item x="21"/>
        <item x="39"/>
        <item x="70"/>
        <item x="34"/>
        <item x="72"/>
        <item x="4"/>
        <item x="77"/>
        <item x="83"/>
        <item x="3"/>
        <item x="53"/>
        <item x="30"/>
        <item x="32"/>
        <item x="31"/>
        <item x="8"/>
        <item x="2"/>
        <item x="9"/>
        <item x="65"/>
        <item x="6"/>
        <item x="19"/>
        <item x="62"/>
        <item x="5"/>
        <item x="29"/>
        <item x="24"/>
        <item x="16"/>
        <item x="52"/>
        <item x="15"/>
        <item x="26"/>
        <item x="35"/>
        <item x="22"/>
        <item x="82"/>
        <item x="55"/>
        <item x="60"/>
        <item x="91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26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x="24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102">
        <item x="92"/>
        <item x="97"/>
        <item x="77"/>
        <item x="41"/>
        <item x="48"/>
        <item x="50"/>
        <item x="96"/>
        <item x="20"/>
        <item x="93"/>
        <item x="72"/>
        <item x="49"/>
        <item x="85"/>
        <item x="81"/>
        <item x="87"/>
        <item x="99"/>
        <item x="88"/>
        <item x="16"/>
        <item x="34"/>
        <item x="29"/>
        <item x="10"/>
        <item x="73"/>
        <item x="25"/>
        <item x="82"/>
        <item x="79"/>
        <item x="39"/>
        <item x="67"/>
        <item x="80"/>
        <item x="35"/>
        <item x="5"/>
        <item x="47"/>
        <item x="46"/>
        <item x="78"/>
        <item x="65"/>
        <item x="56"/>
        <item x="61"/>
        <item x="15"/>
        <item x="98"/>
        <item x="60"/>
        <item x="13"/>
        <item x="68"/>
        <item x="52"/>
        <item x="59"/>
        <item x="40"/>
        <item x="38"/>
        <item x="22"/>
        <item x="1"/>
        <item x="12"/>
        <item x="23"/>
        <item x="89"/>
        <item x="11"/>
        <item x="57"/>
        <item x="51"/>
        <item x="0"/>
        <item x="36"/>
        <item x="94"/>
        <item x="7"/>
        <item x="43"/>
        <item x="4"/>
        <item x="95"/>
        <item x="26"/>
        <item x="53"/>
        <item x="44"/>
        <item x="71"/>
        <item x="18"/>
        <item x="31"/>
        <item x="6"/>
        <item x="32"/>
        <item x="2"/>
        <item x="27"/>
        <item x="45"/>
        <item x="54"/>
        <item x="90"/>
        <item x="86"/>
        <item x="14"/>
        <item x="62"/>
        <item x="76"/>
        <item x="69"/>
        <item x="83"/>
        <item x="3"/>
        <item x="66"/>
        <item x="75"/>
        <item x="91"/>
        <item x="19"/>
        <item x="63"/>
        <item x="42"/>
        <item x="74"/>
        <item x="55"/>
        <item x="33"/>
        <item x="84"/>
        <item x="9"/>
        <item x="21"/>
        <item x="70"/>
        <item x="8"/>
        <item x="30"/>
        <item x="37"/>
        <item x="28"/>
        <item x="17"/>
        <item x="64"/>
        <item x="24"/>
        <item x="58"/>
        <item x="100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axis="axisRow" compact="0" showAll="0">
      <items count="5">
        <item x="1"/>
        <item x="2"/>
        <item x="0"/>
        <item x="3"/>
        <item t="default"/>
      </items>
    </pivotField>
  </pivotFields>
  <rowFields count="2">
    <field x="9"/>
    <field x="10"/>
  </rowFields>
  <rowItems count="1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 v="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Max of Current Price updated" fld="3" subtotal="max" baseField="0" baseItem="0"/>
    <dataField name="Average of Current Price updated" fld="3" subtotal="average" baseField="0" baseItem="0"/>
    <dataField name="Average of Discount" fld="5" subtotal="average" baseField="0" baseItem="0"/>
    <dataField name="Average of Old Price updated" fld="4" subtotal="average" baseField="0" baseItem="0"/>
    <dataField name="Average of Rating" fld="7" subtotal="average" baseField="0" baseItem="0"/>
    <dataField name="Min of Current Price updated" fld="3" subtotal="min" baseField="0" baseItem="0"/>
    <dataField name="Count of Product" fld="0" subtotal="count" baseField="0" baseItem="0"/>
    <dataField name="Average of Discount2" fld="5" subtotal="average" baseField="0" baseItem="0"/>
    <dataField name="Average of Rating2" fld="7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1" firstHeaderRow="1" firstDataRow="1" firstDataCol="1"/>
  <pivotFields count="11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>
      <items count="102">
        <item x="19"/>
        <item x="83"/>
        <item x="99"/>
        <item x="35"/>
        <item x="29"/>
        <item x="16"/>
        <item x="94"/>
        <item x="47"/>
        <item x="71"/>
        <item x="40"/>
        <item x="87"/>
        <item x="78"/>
        <item x="48"/>
        <item x="58"/>
        <item x="76"/>
        <item x="15"/>
        <item x="64"/>
        <item x="62"/>
        <item x="36"/>
        <item x="24"/>
        <item x="57"/>
        <item x="98"/>
        <item x="55"/>
        <item x="39"/>
        <item x="51"/>
        <item x="13"/>
        <item x="65"/>
        <item x="89"/>
        <item x="1"/>
        <item x="12"/>
        <item x="41"/>
        <item x="80"/>
        <item x="45"/>
        <item x="69"/>
        <item x="52"/>
        <item x="68"/>
        <item x="10"/>
        <item x="81"/>
        <item x="21"/>
        <item x="84"/>
        <item x="0"/>
        <item x="66"/>
        <item x="73"/>
        <item x="30"/>
        <item x="7"/>
        <item x="11"/>
        <item x="18"/>
        <item x="43"/>
        <item x="60"/>
        <item x="90"/>
        <item x="95"/>
        <item x="72"/>
        <item x="44"/>
        <item x="46"/>
        <item x="59"/>
        <item x="8"/>
        <item x="82"/>
        <item x="26"/>
        <item x="92"/>
        <item x="50"/>
        <item x="74"/>
        <item x="86"/>
        <item x="77"/>
        <item x="79"/>
        <item x="85"/>
        <item x="67"/>
        <item x="3"/>
        <item x="9"/>
        <item x="34"/>
        <item x="22"/>
        <item x="96"/>
        <item x="49"/>
        <item x="75"/>
        <item x="14"/>
        <item x="70"/>
        <item x="4"/>
        <item x="27"/>
        <item x="97"/>
        <item x="31"/>
        <item x="20"/>
        <item x="93"/>
        <item x="32"/>
        <item x="33"/>
        <item x="17"/>
        <item x="23"/>
        <item x="56"/>
        <item x="42"/>
        <item x="54"/>
        <item x="2"/>
        <item x="28"/>
        <item x="63"/>
        <item x="6"/>
        <item x="38"/>
        <item x="53"/>
        <item x="25"/>
        <item x="5"/>
        <item x="88"/>
        <item x="91"/>
        <item x="61"/>
        <item x="37"/>
        <item x="100"/>
        <item t="default"/>
      </items>
    </pivotField>
    <pivotField compact="0" showAll="0">
      <items count="92">
        <item x="18"/>
        <item x="76"/>
        <item x="85"/>
        <item x="89"/>
        <item x="14"/>
        <item x="27"/>
        <item x="47"/>
        <item x="69"/>
        <item x="37"/>
        <item x="79"/>
        <item x="44"/>
        <item x="73"/>
        <item x="88"/>
        <item x="45"/>
        <item x="63"/>
        <item x="23"/>
        <item x="33"/>
        <item x="57"/>
        <item x="13"/>
        <item x="61"/>
        <item x="12"/>
        <item x="56"/>
        <item x="64"/>
        <item x="50"/>
        <item x="36"/>
        <item x="54"/>
        <item x="1"/>
        <item x="80"/>
        <item x="11"/>
        <item x="38"/>
        <item x="74"/>
        <item x="67"/>
        <item x="42"/>
        <item x="49"/>
        <item x="20"/>
        <item x="66"/>
        <item x="28"/>
        <item x="48"/>
        <item x="10"/>
        <item x="0"/>
        <item x="58"/>
        <item x="51"/>
        <item x="7"/>
        <item x="78"/>
        <item x="46"/>
        <item x="75"/>
        <item x="86"/>
        <item x="41"/>
        <item x="68"/>
        <item x="87"/>
        <item x="59"/>
        <item x="81"/>
        <item x="84"/>
        <item x="71"/>
        <item x="43"/>
        <item x="17"/>
        <item x="25"/>
        <item x="40"/>
        <item x="21"/>
        <item x="39"/>
        <item x="70"/>
        <item x="72"/>
        <item x="4"/>
        <item x="77"/>
        <item x="83"/>
        <item x="3"/>
        <item x="53"/>
        <item x="30"/>
        <item x="32"/>
        <item x="31"/>
        <item x="8"/>
        <item x="2"/>
        <item x="9"/>
        <item x="65"/>
        <item x="6"/>
        <item x="19"/>
        <item x="62"/>
        <item x="5"/>
        <item x="29"/>
        <item x="24"/>
        <item x="16"/>
        <item x="52"/>
        <item x="15"/>
        <item x="26"/>
        <item x="35"/>
        <item x="22"/>
        <item x="82"/>
        <item x="55"/>
        <item x="60"/>
        <item x="34"/>
        <item x="90"/>
        <item t="default"/>
      </items>
    </pivotField>
    <pivotField compact="0" showAll="0">
      <items count="101">
        <item x="19"/>
        <item x="82"/>
        <item x="98"/>
        <item x="35"/>
        <item x="29"/>
        <item x="16"/>
        <item x="93"/>
        <item x="46"/>
        <item x="70"/>
        <item x="39"/>
        <item x="86"/>
        <item x="77"/>
        <item x="47"/>
        <item x="57"/>
        <item x="75"/>
        <item x="15"/>
        <item x="63"/>
        <item x="61"/>
        <item x="36"/>
        <item x="24"/>
        <item x="56"/>
        <item x="97"/>
        <item x="54"/>
        <item x="38"/>
        <item x="50"/>
        <item x="13"/>
        <item x="64"/>
        <item x="88"/>
        <item x="1"/>
        <item x="12"/>
        <item x="40"/>
        <item x="79"/>
        <item x="44"/>
        <item x="68"/>
        <item x="51"/>
        <item x="67"/>
        <item x="10"/>
        <item x="80"/>
        <item x="21"/>
        <item x="83"/>
        <item x="0"/>
        <item x="65"/>
        <item x="72"/>
        <item x="30"/>
        <item x="7"/>
        <item x="11"/>
        <item x="18"/>
        <item x="42"/>
        <item x="59"/>
        <item x="89"/>
        <item x="94"/>
        <item x="71"/>
        <item x="43"/>
        <item x="45"/>
        <item x="99"/>
        <item x="58"/>
        <item x="8"/>
        <item x="81"/>
        <item x="26"/>
        <item x="91"/>
        <item x="49"/>
        <item x="73"/>
        <item x="85"/>
        <item x="76"/>
        <item x="78"/>
        <item x="84"/>
        <item x="66"/>
        <item x="3"/>
        <item x="9"/>
        <item x="34"/>
        <item x="22"/>
        <item x="95"/>
        <item x="48"/>
        <item x="74"/>
        <item x="14"/>
        <item x="69"/>
        <item x="4"/>
        <item x="27"/>
        <item x="96"/>
        <item x="31"/>
        <item x="20"/>
        <item x="92"/>
        <item x="32"/>
        <item x="33"/>
        <item x="17"/>
        <item x="23"/>
        <item x="55"/>
        <item x="41"/>
        <item x="53"/>
        <item x="2"/>
        <item x="28"/>
        <item x="62"/>
        <item x="6"/>
        <item x="37"/>
        <item x="52"/>
        <item x="25"/>
        <item x="5"/>
        <item x="87"/>
        <item x="90"/>
        <item x="60"/>
        <item t="default"/>
      </items>
    </pivotField>
    <pivotField compact="0" showAll="0">
      <items count="93">
        <item x="18"/>
        <item x="76"/>
        <item x="85"/>
        <item x="89"/>
        <item x="14"/>
        <item x="27"/>
        <item x="47"/>
        <item x="69"/>
        <item x="37"/>
        <item x="79"/>
        <item x="44"/>
        <item x="73"/>
        <item x="88"/>
        <item x="45"/>
        <item x="63"/>
        <item x="23"/>
        <item x="33"/>
        <item x="57"/>
        <item x="13"/>
        <item x="61"/>
        <item x="12"/>
        <item x="56"/>
        <item x="64"/>
        <item x="50"/>
        <item x="36"/>
        <item x="54"/>
        <item x="1"/>
        <item x="80"/>
        <item x="11"/>
        <item x="38"/>
        <item x="74"/>
        <item x="67"/>
        <item x="42"/>
        <item x="49"/>
        <item x="20"/>
        <item x="66"/>
        <item x="28"/>
        <item x="48"/>
        <item x="10"/>
        <item x="0"/>
        <item x="58"/>
        <item x="51"/>
        <item x="7"/>
        <item x="78"/>
        <item x="46"/>
        <item x="75"/>
        <item x="86"/>
        <item x="41"/>
        <item x="68"/>
        <item x="87"/>
        <item x="59"/>
        <item x="90"/>
        <item x="81"/>
        <item x="84"/>
        <item x="71"/>
        <item x="43"/>
        <item x="17"/>
        <item x="25"/>
        <item x="40"/>
        <item x="21"/>
        <item x="39"/>
        <item x="70"/>
        <item x="34"/>
        <item x="72"/>
        <item x="4"/>
        <item x="77"/>
        <item x="83"/>
        <item x="3"/>
        <item x="53"/>
        <item x="30"/>
        <item x="32"/>
        <item x="31"/>
        <item x="8"/>
        <item x="2"/>
        <item x="9"/>
        <item x="65"/>
        <item x="6"/>
        <item x="19"/>
        <item x="62"/>
        <item x="5"/>
        <item x="29"/>
        <item x="24"/>
        <item x="16"/>
        <item x="52"/>
        <item x="15"/>
        <item x="26"/>
        <item x="35"/>
        <item x="22"/>
        <item x="82"/>
        <item x="55"/>
        <item x="60"/>
        <item x="91"/>
        <item t="default"/>
      </items>
    </pivotField>
    <pivotField axis="axisRow" compact="0" multipleItemSelectionAllowed="1" showAll="0">
      <items count="1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26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2">
        <item x="92"/>
        <item x="97"/>
        <item x="77"/>
        <item x="41"/>
        <item x="48"/>
        <item x="50"/>
        <item x="96"/>
        <item x="20"/>
        <item x="93"/>
        <item x="72"/>
        <item x="49"/>
        <item x="85"/>
        <item x="81"/>
        <item x="87"/>
        <item x="99"/>
        <item x="88"/>
        <item x="16"/>
        <item x="34"/>
        <item x="29"/>
        <item x="10"/>
        <item x="73"/>
        <item x="25"/>
        <item x="82"/>
        <item x="79"/>
        <item x="39"/>
        <item x="67"/>
        <item x="80"/>
        <item x="35"/>
        <item x="5"/>
        <item x="47"/>
        <item x="46"/>
        <item x="78"/>
        <item x="65"/>
        <item x="56"/>
        <item x="61"/>
        <item x="15"/>
        <item x="98"/>
        <item x="60"/>
        <item x="13"/>
        <item x="68"/>
        <item x="52"/>
        <item x="59"/>
        <item x="40"/>
        <item x="38"/>
        <item x="22"/>
        <item x="1"/>
        <item x="12"/>
        <item x="23"/>
        <item x="89"/>
        <item x="11"/>
        <item x="57"/>
        <item x="51"/>
        <item x="0"/>
        <item x="36"/>
        <item x="94"/>
        <item x="7"/>
        <item x="43"/>
        <item x="4"/>
        <item x="95"/>
        <item x="26"/>
        <item x="53"/>
        <item x="44"/>
        <item x="71"/>
        <item x="18"/>
        <item x="31"/>
        <item x="6"/>
        <item x="32"/>
        <item x="2"/>
        <item x="27"/>
        <item x="45"/>
        <item x="54"/>
        <item x="90"/>
        <item x="86"/>
        <item x="14"/>
        <item x="62"/>
        <item x="76"/>
        <item x="69"/>
        <item x="83"/>
        <item x="3"/>
        <item x="66"/>
        <item x="75"/>
        <item x="91"/>
        <item x="19"/>
        <item x="63"/>
        <item x="42"/>
        <item x="74"/>
        <item x="55"/>
        <item x="33"/>
        <item x="84"/>
        <item x="9"/>
        <item x="21"/>
        <item x="70"/>
        <item x="8"/>
        <item x="30"/>
        <item x="37"/>
        <item x="28"/>
        <item x="17"/>
        <item x="64"/>
        <item x="24"/>
        <item x="58"/>
        <item x="10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</pivotFields>
  <rowFields count="1">
    <field x="5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Review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11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>
      <items count="102">
        <item x="19"/>
        <item x="83"/>
        <item x="99"/>
        <item x="35"/>
        <item x="29"/>
        <item x="16"/>
        <item x="94"/>
        <item x="47"/>
        <item x="71"/>
        <item x="40"/>
        <item x="87"/>
        <item x="78"/>
        <item x="48"/>
        <item x="58"/>
        <item x="76"/>
        <item x="15"/>
        <item x="64"/>
        <item x="62"/>
        <item x="36"/>
        <item x="24"/>
        <item x="57"/>
        <item x="98"/>
        <item x="55"/>
        <item x="39"/>
        <item x="51"/>
        <item x="13"/>
        <item x="65"/>
        <item x="89"/>
        <item x="1"/>
        <item x="12"/>
        <item x="41"/>
        <item x="80"/>
        <item x="45"/>
        <item x="69"/>
        <item x="52"/>
        <item x="68"/>
        <item x="10"/>
        <item x="81"/>
        <item x="21"/>
        <item x="84"/>
        <item x="0"/>
        <item x="66"/>
        <item x="73"/>
        <item x="30"/>
        <item x="7"/>
        <item x="11"/>
        <item x="18"/>
        <item x="43"/>
        <item x="60"/>
        <item x="90"/>
        <item x="95"/>
        <item x="72"/>
        <item x="44"/>
        <item x="46"/>
        <item x="59"/>
        <item x="8"/>
        <item x="82"/>
        <item x="26"/>
        <item x="92"/>
        <item x="50"/>
        <item x="74"/>
        <item x="86"/>
        <item x="77"/>
        <item x="79"/>
        <item x="85"/>
        <item x="67"/>
        <item x="3"/>
        <item x="9"/>
        <item x="34"/>
        <item x="22"/>
        <item x="96"/>
        <item x="49"/>
        <item x="75"/>
        <item x="14"/>
        <item x="70"/>
        <item x="4"/>
        <item x="27"/>
        <item x="97"/>
        <item x="31"/>
        <item x="20"/>
        <item x="93"/>
        <item x="32"/>
        <item x="33"/>
        <item x="17"/>
        <item x="23"/>
        <item x="56"/>
        <item x="42"/>
        <item x="54"/>
        <item x="2"/>
        <item x="28"/>
        <item x="63"/>
        <item x="6"/>
        <item x="38"/>
        <item x="53"/>
        <item x="25"/>
        <item x="5"/>
        <item x="88"/>
        <item x="91"/>
        <item x="61"/>
        <item x="37"/>
        <item x="100"/>
        <item t="default"/>
      </items>
    </pivotField>
    <pivotField compact="0" showAll="0">
      <items count="92">
        <item x="18"/>
        <item x="76"/>
        <item x="85"/>
        <item x="89"/>
        <item x="14"/>
        <item x="27"/>
        <item x="47"/>
        <item x="69"/>
        <item x="37"/>
        <item x="79"/>
        <item x="44"/>
        <item x="73"/>
        <item x="88"/>
        <item x="45"/>
        <item x="63"/>
        <item x="23"/>
        <item x="33"/>
        <item x="57"/>
        <item x="13"/>
        <item x="61"/>
        <item x="12"/>
        <item x="56"/>
        <item x="64"/>
        <item x="50"/>
        <item x="36"/>
        <item x="54"/>
        <item x="1"/>
        <item x="80"/>
        <item x="11"/>
        <item x="38"/>
        <item x="74"/>
        <item x="67"/>
        <item x="42"/>
        <item x="49"/>
        <item x="20"/>
        <item x="66"/>
        <item x="28"/>
        <item x="48"/>
        <item x="10"/>
        <item x="0"/>
        <item x="58"/>
        <item x="51"/>
        <item x="7"/>
        <item x="78"/>
        <item x="46"/>
        <item x="75"/>
        <item x="86"/>
        <item x="41"/>
        <item x="68"/>
        <item x="87"/>
        <item x="59"/>
        <item x="81"/>
        <item x="84"/>
        <item x="71"/>
        <item x="43"/>
        <item x="17"/>
        <item x="25"/>
        <item x="40"/>
        <item x="21"/>
        <item x="39"/>
        <item x="70"/>
        <item x="72"/>
        <item x="4"/>
        <item x="77"/>
        <item x="83"/>
        <item x="3"/>
        <item x="53"/>
        <item x="30"/>
        <item x="32"/>
        <item x="31"/>
        <item x="8"/>
        <item x="2"/>
        <item x="9"/>
        <item x="65"/>
        <item x="6"/>
        <item x="19"/>
        <item x="62"/>
        <item x="5"/>
        <item x="29"/>
        <item x="24"/>
        <item x="16"/>
        <item x="52"/>
        <item x="15"/>
        <item x="26"/>
        <item x="35"/>
        <item x="22"/>
        <item x="82"/>
        <item x="55"/>
        <item x="60"/>
        <item x="34"/>
        <item x="90"/>
        <item t="default"/>
      </items>
    </pivotField>
    <pivotField compact="0" showAll="0">
      <items count="101">
        <item x="19"/>
        <item x="82"/>
        <item x="98"/>
        <item x="35"/>
        <item x="29"/>
        <item x="16"/>
        <item x="93"/>
        <item x="46"/>
        <item x="70"/>
        <item x="39"/>
        <item x="86"/>
        <item x="77"/>
        <item x="47"/>
        <item x="57"/>
        <item x="75"/>
        <item x="15"/>
        <item x="63"/>
        <item x="61"/>
        <item x="36"/>
        <item x="24"/>
        <item x="56"/>
        <item x="97"/>
        <item x="54"/>
        <item x="38"/>
        <item x="50"/>
        <item x="13"/>
        <item x="64"/>
        <item x="88"/>
        <item x="1"/>
        <item x="12"/>
        <item x="40"/>
        <item x="79"/>
        <item x="44"/>
        <item x="68"/>
        <item x="51"/>
        <item x="67"/>
        <item x="10"/>
        <item x="80"/>
        <item x="21"/>
        <item x="83"/>
        <item x="0"/>
        <item x="65"/>
        <item x="72"/>
        <item x="30"/>
        <item x="7"/>
        <item x="11"/>
        <item x="18"/>
        <item x="42"/>
        <item x="59"/>
        <item x="89"/>
        <item x="94"/>
        <item x="71"/>
        <item x="43"/>
        <item x="45"/>
        <item x="99"/>
        <item x="58"/>
        <item x="8"/>
        <item x="81"/>
        <item x="26"/>
        <item x="91"/>
        <item x="49"/>
        <item x="73"/>
        <item x="85"/>
        <item x="76"/>
        <item x="78"/>
        <item x="84"/>
        <item x="66"/>
        <item x="3"/>
        <item x="9"/>
        <item x="34"/>
        <item x="22"/>
        <item x="95"/>
        <item x="48"/>
        <item x="74"/>
        <item x="14"/>
        <item x="69"/>
        <item x="4"/>
        <item x="27"/>
        <item x="96"/>
        <item x="31"/>
        <item x="20"/>
        <item x="92"/>
        <item x="32"/>
        <item x="33"/>
        <item x="17"/>
        <item x="23"/>
        <item x="55"/>
        <item x="41"/>
        <item x="53"/>
        <item x="2"/>
        <item x="28"/>
        <item x="62"/>
        <item x="6"/>
        <item x="37"/>
        <item x="52"/>
        <item x="25"/>
        <item x="5"/>
        <item x="87"/>
        <item x="90"/>
        <item x="60"/>
        <item t="default"/>
      </items>
    </pivotField>
    <pivotField compact="0" showAll="0">
      <items count="93">
        <item x="18"/>
        <item x="76"/>
        <item x="85"/>
        <item x="89"/>
        <item x="14"/>
        <item x="27"/>
        <item x="47"/>
        <item x="69"/>
        <item x="37"/>
        <item x="79"/>
        <item x="44"/>
        <item x="73"/>
        <item x="88"/>
        <item x="45"/>
        <item x="63"/>
        <item x="23"/>
        <item x="33"/>
        <item x="57"/>
        <item x="13"/>
        <item x="61"/>
        <item x="12"/>
        <item x="56"/>
        <item x="64"/>
        <item x="50"/>
        <item x="36"/>
        <item x="54"/>
        <item x="1"/>
        <item x="80"/>
        <item x="11"/>
        <item x="38"/>
        <item x="74"/>
        <item x="67"/>
        <item x="42"/>
        <item x="49"/>
        <item x="20"/>
        <item x="66"/>
        <item x="28"/>
        <item x="48"/>
        <item x="10"/>
        <item x="0"/>
        <item x="58"/>
        <item x="51"/>
        <item x="7"/>
        <item x="78"/>
        <item x="46"/>
        <item x="75"/>
        <item x="86"/>
        <item x="41"/>
        <item x="68"/>
        <item x="87"/>
        <item x="59"/>
        <item x="90"/>
        <item x="81"/>
        <item x="84"/>
        <item x="71"/>
        <item x="43"/>
        <item x="17"/>
        <item x="25"/>
        <item x="40"/>
        <item x="21"/>
        <item x="39"/>
        <item x="70"/>
        <item x="34"/>
        <item x="72"/>
        <item x="4"/>
        <item x="77"/>
        <item x="83"/>
        <item x="3"/>
        <item x="53"/>
        <item x="30"/>
        <item x="32"/>
        <item x="31"/>
        <item x="8"/>
        <item x="2"/>
        <item x="9"/>
        <item x="65"/>
        <item x="6"/>
        <item x="19"/>
        <item x="62"/>
        <item x="5"/>
        <item x="29"/>
        <item x="24"/>
        <item x="16"/>
        <item x="52"/>
        <item x="15"/>
        <item x="26"/>
        <item x="35"/>
        <item x="22"/>
        <item x="82"/>
        <item x="55"/>
        <item x="60"/>
        <item x="91"/>
        <item t="default"/>
      </items>
    </pivotField>
    <pivotField compact="0" showAll="0">
      <items count="13">
        <item x="0"/>
        <item x="11"/>
        <item x="2"/>
        <item x="3"/>
        <item x="4"/>
        <item x="5"/>
        <item x="6"/>
        <item x="7"/>
        <item x="8"/>
        <item x="9"/>
        <item x="10"/>
        <item x="1"/>
        <item t="default"/>
      </items>
    </pivotField>
    <pivotField dataField="1" compact="0" showAll="0">
      <items count="26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x="2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02">
        <item x="92"/>
        <item x="97"/>
        <item x="77"/>
        <item x="41"/>
        <item x="48"/>
        <item x="50"/>
        <item x="96"/>
        <item x="20"/>
        <item x="93"/>
        <item x="72"/>
        <item x="49"/>
        <item x="85"/>
        <item x="81"/>
        <item x="87"/>
        <item x="99"/>
        <item x="88"/>
        <item x="16"/>
        <item x="34"/>
        <item x="29"/>
        <item x="10"/>
        <item x="73"/>
        <item x="25"/>
        <item x="82"/>
        <item x="79"/>
        <item x="39"/>
        <item x="67"/>
        <item x="80"/>
        <item x="35"/>
        <item x="5"/>
        <item x="47"/>
        <item x="46"/>
        <item x="78"/>
        <item x="65"/>
        <item x="56"/>
        <item x="61"/>
        <item x="15"/>
        <item x="98"/>
        <item x="60"/>
        <item x="13"/>
        <item x="68"/>
        <item x="52"/>
        <item x="59"/>
        <item x="40"/>
        <item x="38"/>
        <item x="22"/>
        <item x="1"/>
        <item x="12"/>
        <item x="23"/>
        <item x="89"/>
        <item x="11"/>
        <item x="57"/>
        <item x="51"/>
        <item x="0"/>
        <item x="36"/>
        <item x="94"/>
        <item x="7"/>
        <item x="43"/>
        <item x="4"/>
        <item x="95"/>
        <item x="26"/>
        <item x="53"/>
        <item x="44"/>
        <item x="71"/>
        <item x="18"/>
        <item x="31"/>
        <item x="6"/>
        <item x="32"/>
        <item x="2"/>
        <item x="27"/>
        <item x="45"/>
        <item x="54"/>
        <item x="90"/>
        <item x="86"/>
        <item x="14"/>
        <item x="62"/>
        <item x="76"/>
        <item x="69"/>
        <item x="83"/>
        <item x="3"/>
        <item x="66"/>
        <item x="75"/>
        <item x="91"/>
        <item x="19"/>
        <item x="63"/>
        <item x="42"/>
        <item x="74"/>
        <item x="55"/>
        <item x="33"/>
        <item x="84"/>
        <item x="9"/>
        <item x="21"/>
        <item x="70"/>
        <item x="8"/>
        <item x="30"/>
        <item x="37"/>
        <item x="28"/>
        <item x="17"/>
        <item x="64"/>
        <item x="24"/>
        <item x="58"/>
        <item x="10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Review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8"/>
  <sheetViews>
    <sheetView workbookViewId="0">
      <selection activeCell="D1" sqref="D$1:D$1048576"/>
    </sheetView>
  </sheetViews>
  <sheetFormatPr defaultColWidth="8.72727272727273" defaultRowHeight="14.5"/>
  <cols>
    <col min="1" max="2" width="19.7272727272727"/>
    <col min="3" max="11" width="31.6363636363636"/>
  </cols>
  <sheetData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>
      <c r="A4" t="s">
        <v>11</v>
      </c>
      <c r="C4">
        <v>3750</v>
      </c>
      <c r="D4">
        <v>1369.40909090909</v>
      </c>
      <c r="E4">
        <v>0.380454545454546</v>
      </c>
      <c r="F4">
        <v>2137.59090909091</v>
      </c>
      <c r="G4">
        <v>3.80909090909091</v>
      </c>
      <c r="H4">
        <v>38</v>
      </c>
      <c r="I4">
        <v>22</v>
      </c>
      <c r="J4">
        <v>0.380454545454546</v>
      </c>
      <c r="K4">
        <v>3.80909090909091</v>
      </c>
    </row>
    <row r="5" spans="2:11">
      <c r="B5" t="s">
        <v>12</v>
      </c>
      <c r="C5">
        <v>2048</v>
      </c>
      <c r="D5">
        <v>826.636363636364</v>
      </c>
      <c r="E5">
        <v>0.483636363636364</v>
      </c>
      <c r="F5">
        <v>1615.18181818182</v>
      </c>
      <c r="G5">
        <v>3.76363636363636</v>
      </c>
      <c r="H5">
        <v>38</v>
      </c>
      <c r="I5">
        <v>11</v>
      </c>
      <c r="J5">
        <v>0.483636363636364</v>
      </c>
      <c r="K5">
        <v>3.76363636363636</v>
      </c>
    </row>
    <row r="6" spans="2:11">
      <c r="B6" t="s">
        <v>13</v>
      </c>
      <c r="C6">
        <v>2999</v>
      </c>
      <c r="D6">
        <v>2939.5</v>
      </c>
      <c r="E6">
        <v>0.135</v>
      </c>
      <c r="F6">
        <v>3405</v>
      </c>
      <c r="G6">
        <v>3.9</v>
      </c>
      <c r="H6">
        <v>2880</v>
      </c>
      <c r="I6">
        <v>2</v>
      </c>
      <c r="J6">
        <v>0.135</v>
      </c>
      <c r="K6">
        <v>3.9</v>
      </c>
    </row>
    <row r="7" spans="2:11">
      <c r="B7" t="s">
        <v>14</v>
      </c>
      <c r="C7">
        <v>3750</v>
      </c>
      <c r="D7">
        <v>1683.88888888889</v>
      </c>
      <c r="E7">
        <v>0.308888888888889</v>
      </c>
      <c r="F7">
        <v>2494.44444444444</v>
      </c>
      <c r="G7">
        <v>3.84444444444444</v>
      </c>
      <c r="H7">
        <v>799</v>
      </c>
      <c r="I7">
        <v>9</v>
      </c>
      <c r="J7">
        <v>0.308888888888889</v>
      </c>
      <c r="K7">
        <v>3.84444444444444</v>
      </c>
    </row>
    <row r="8" spans="1:11">
      <c r="A8" t="s">
        <v>15</v>
      </c>
      <c r="C8">
        <v>3640</v>
      </c>
      <c r="D8">
        <v>1391.47826086957</v>
      </c>
      <c r="E8">
        <v>0.376521739130435</v>
      </c>
      <c r="F8">
        <v>2106.69565217391</v>
      </c>
      <c r="G8">
        <v>4.74782608695652</v>
      </c>
      <c r="H8">
        <v>171</v>
      </c>
      <c r="I8">
        <v>23</v>
      </c>
      <c r="J8">
        <v>0.376521739130435</v>
      </c>
      <c r="K8">
        <v>4.74782608695652</v>
      </c>
    </row>
    <row r="9" spans="2:11">
      <c r="B9" t="s">
        <v>12</v>
      </c>
      <c r="C9">
        <v>2025</v>
      </c>
      <c r="D9">
        <v>780.777777777778</v>
      </c>
      <c r="E9">
        <v>0.49</v>
      </c>
      <c r="F9">
        <v>1550.66666666667</v>
      </c>
      <c r="G9">
        <v>4.85555555555556</v>
      </c>
      <c r="H9">
        <v>171</v>
      </c>
      <c r="I9">
        <v>9</v>
      </c>
      <c r="J9">
        <v>0.49</v>
      </c>
      <c r="K9">
        <v>4.85555555555556</v>
      </c>
    </row>
    <row r="10" spans="2:11">
      <c r="B10" t="s">
        <v>13</v>
      </c>
      <c r="C10">
        <v>2999</v>
      </c>
      <c r="D10">
        <v>2999</v>
      </c>
      <c r="E10">
        <v>0.19</v>
      </c>
      <c r="F10">
        <v>3699</v>
      </c>
      <c r="G10">
        <v>4.6</v>
      </c>
      <c r="H10">
        <v>2999</v>
      </c>
      <c r="I10">
        <v>1</v>
      </c>
      <c r="J10">
        <v>0.19</v>
      </c>
      <c r="K10">
        <v>4.6</v>
      </c>
    </row>
    <row r="11" spans="2:11">
      <c r="B11" t="s">
        <v>14</v>
      </c>
      <c r="C11">
        <v>3640</v>
      </c>
      <c r="D11">
        <v>1690.61538461538</v>
      </c>
      <c r="E11">
        <v>0.312307692307692</v>
      </c>
      <c r="F11">
        <v>2369.15384615385</v>
      </c>
      <c r="G11">
        <v>4.68461538461539</v>
      </c>
      <c r="H11">
        <v>420</v>
      </c>
      <c r="I11">
        <v>13</v>
      </c>
      <c r="J11">
        <v>0.312307692307692</v>
      </c>
      <c r="K11">
        <v>4.68461538461539</v>
      </c>
    </row>
    <row r="12" spans="1:11">
      <c r="A12" t="s">
        <v>16</v>
      </c>
      <c r="C12">
        <v>3546</v>
      </c>
      <c r="D12">
        <v>1084.203125</v>
      </c>
      <c r="E12">
        <v>0.35359375</v>
      </c>
      <c r="F12">
        <v>1630.21875</v>
      </c>
      <c r="G12">
        <v>0.4484375</v>
      </c>
      <c r="H12">
        <v>105</v>
      </c>
      <c r="I12">
        <v>64</v>
      </c>
      <c r="J12">
        <v>0.35359375</v>
      </c>
      <c r="K12">
        <v>0.4484375</v>
      </c>
    </row>
    <row r="13" spans="2:11">
      <c r="B13" t="s">
        <v>12</v>
      </c>
      <c r="C13">
        <v>2200</v>
      </c>
      <c r="D13">
        <v>757.589743589744</v>
      </c>
      <c r="E13">
        <v>0.47974358974359</v>
      </c>
      <c r="F13">
        <v>1445.23076923077</v>
      </c>
      <c r="G13">
        <v>0.597435897435897</v>
      </c>
      <c r="H13">
        <v>105</v>
      </c>
      <c r="I13">
        <v>39</v>
      </c>
      <c r="J13">
        <v>0.47974358974359</v>
      </c>
      <c r="K13">
        <v>0.597435897435897</v>
      </c>
    </row>
    <row r="14" spans="2:11">
      <c r="B14" t="s">
        <v>13</v>
      </c>
      <c r="C14">
        <v>3546</v>
      </c>
      <c r="D14">
        <v>1759.13333333333</v>
      </c>
      <c r="E14">
        <v>0.056</v>
      </c>
      <c r="F14">
        <v>1861.2</v>
      </c>
      <c r="G14">
        <v>0.166666666666667</v>
      </c>
      <c r="H14">
        <v>799</v>
      </c>
      <c r="I14">
        <v>15</v>
      </c>
      <c r="J14">
        <v>0.056</v>
      </c>
      <c r="K14">
        <v>0.166666666666667</v>
      </c>
    </row>
    <row r="15" spans="2:11">
      <c r="B15" t="s">
        <v>14</v>
      </c>
      <c r="C15">
        <v>2799</v>
      </c>
      <c r="D15">
        <v>1345.6</v>
      </c>
      <c r="E15">
        <v>0.308</v>
      </c>
      <c r="F15">
        <v>2005.2</v>
      </c>
      <c r="G15">
        <v>0.29</v>
      </c>
      <c r="H15">
        <v>198</v>
      </c>
      <c r="I15">
        <v>10</v>
      </c>
      <c r="J15">
        <v>0.308</v>
      </c>
      <c r="K15">
        <v>0.29</v>
      </c>
    </row>
    <row r="16" spans="1:11">
      <c r="A16" t="s">
        <v>17</v>
      </c>
      <c r="C16">
        <v>3750</v>
      </c>
      <c r="D16">
        <v>1664.86850152905</v>
      </c>
      <c r="E16">
        <v>0.363853211009174</v>
      </c>
      <c r="F16">
        <v>1833.16513761468</v>
      </c>
      <c r="G16">
        <v>2.03394495412844</v>
      </c>
      <c r="H16">
        <v>38</v>
      </c>
      <c r="J16">
        <v>0.363853211009174</v>
      </c>
      <c r="K16">
        <v>2.03394495412844</v>
      </c>
    </row>
    <row r="17" spans="2:11">
      <c r="B17" t="s">
        <v>17</v>
      </c>
      <c r="C17">
        <v>3750</v>
      </c>
      <c r="D17">
        <v>1664.86850152905</v>
      </c>
      <c r="E17">
        <v>0.363853211009174</v>
      </c>
      <c r="F17">
        <v>1833.16513761468</v>
      </c>
      <c r="G17">
        <v>2.03394495412844</v>
      </c>
      <c r="H17">
        <v>38</v>
      </c>
      <c r="J17">
        <v>0.363853211009174</v>
      </c>
      <c r="K17">
        <v>2.03394495412844</v>
      </c>
    </row>
    <row r="18" spans="1:11">
      <c r="A18" t="s">
        <v>18</v>
      </c>
      <c r="C18">
        <v>3750</v>
      </c>
      <c r="D18">
        <v>1218.88040629096</v>
      </c>
      <c r="E18">
        <v>0.363853211009174</v>
      </c>
      <c r="F18">
        <v>1833.16513761468</v>
      </c>
      <c r="G18">
        <v>2.03394495412844</v>
      </c>
      <c r="H18">
        <v>38</v>
      </c>
      <c r="I18">
        <v>109</v>
      </c>
      <c r="J18">
        <v>0.363853211009174</v>
      </c>
      <c r="K18">
        <v>2.03394495412844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zoomScale="80" zoomScaleNormal="80" workbookViewId="0">
      <selection activeCell="L11" sqref="L11"/>
    </sheetView>
  </sheetViews>
  <sheetFormatPr defaultColWidth="8.72727272727273" defaultRowHeight="14.5" outlineLevelCol="1"/>
  <cols>
    <col min="1" max="1" width="11.6363636363636"/>
    <col min="2" max="3" width="17.7272727272727"/>
    <col min="4" max="4" width="18.8181818181818"/>
  </cols>
  <sheetData>
    <row r="3" spans="1:2">
      <c r="A3" t="s">
        <v>19</v>
      </c>
      <c r="B3" t="s">
        <v>20</v>
      </c>
    </row>
    <row r="4" spans="1:2">
      <c r="A4" t="s">
        <v>21</v>
      </c>
      <c r="B4">
        <v>1.25</v>
      </c>
    </row>
    <row r="5" spans="1:2">
      <c r="A5" t="s">
        <v>22</v>
      </c>
      <c r="B5">
        <v>3.83333333333333</v>
      </c>
    </row>
    <row r="6" spans="1:2">
      <c r="A6" t="s">
        <v>23</v>
      </c>
      <c r="B6">
        <v>14.5714285714286</v>
      </c>
    </row>
    <row r="7" spans="1:2">
      <c r="A7" t="s">
        <v>24</v>
      </c>
      <c r="B7">
        <v>8.58823529411765</v>
      </c>
    </row>
    <row r="8" spans="1:2">
      <c r="A8" t="s">
        <v>25</v>
      </c>
      <c r="B8">
        <v>5.97619047619048</v>
      </c>
    </row>
    <row r="9" spans="1:2">
      <c r="A9" t="s">
        <v>26</v>
      </c>
      <c r="B9">
        <v>5.25</v>
      </c>
    </row>
    <row r="10" spans="1:2">
      <c r="A10" t="s">
        <v>27</v>
      </c>
      <c r="B10">
        <v>0</v>
      </c>
    </row>
    <row r="11" spans="1:2">
      <c r="A11" t="s">
        <v>18</v>
      </c>
      <c r="B11">
        <v>6.63302752293578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abSelected="1" workbookViewId="0">
      <selection activeCell="A3" sqref="A3"/>
    </sheetView>
  </sheetViews>
  <sheetFormatPr defaultColWidth="8.72727272727273" defaultRowHeight="14.5" outlineLevelRow="5" outlineLevelCol="1"/>
  <cols>
    <col min="1" max="1" width="11.6363636363636"/>
    <col min="2" max="2" width="17.7272727272727"/>
  </cols>
  <sheetData>
    <row r="3" spans="1:2">
      <c r="A3" t="s">
        <v>28</v>
      </c>
      <c r="B3" t="s">
        <v>20</v>
      </c>
    </row>
    <row r="4" spans="1:1">
      <c r="A4" t="s">
        <v>17</v>
      </c>
    </row>
    <row r="5" spans="1:2">
      <c r="A5" t="s">
        <v>29</v>
      </c>
      <c r="B5">
        <v>6.63302752293578</v>
      </c>
    </row>
    <row r="6" spans="1:2">
      <c r="A6" t="s">
        <v>18</v>
      </c>
      <c r="B6">
        <v>6.63302752293578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"/>
  <sheetViews>
    <sheetView zoomScaleSheetLayoutView="60" topLeftCell="B1" workbookViewId="0">
      <pane ySplit="1" topLeftCell="A2" activePane="bottomLeft" state="frozen"/>
      <selection/>
      <selection pane="bottomLeft" activeCell="H9" sqref="H9"/>
    </sheetView>
  </sheetViews>
  <sheetFormatPr defaultColWidth="9.81818181818182" defaultRowHeight="14.5"/>
  <cols>
    <col min="1" max="1" width="98" customWidth="1"/>
    <col min="2" max="2" width="20.0909090909091" customWidth="1"/>
    <col min="3" max="3" width="13.2727272727273" customWidth="1"/>
    <col min="4" max="4" width="21.0909090909091" customWidth="1"/>
    <col min="5" max="5" width="17.1818181818182" customWidth="1"/>
    <col min="6" max="6" width="12.8181818181818" style="2"/>
    <col min="8" max="8" width="12.8181818181818"/>
    <col min="9" max="9" width="17" customWidth="1"/>
    <col min="10" max="11" width="17.5454545454545" customWidth="1"/>
  </cols>
  <sheetData>
    <row r="1" s="1" customFormat="1" spans="1:11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4" t="s">
        <v>19</v>
      </c>
      <c r="G1" s="3" t="s">
        <v>35</v>
      </c>
      <c r="H1" s="3" t="s">
        <v>28</v>
      </c>
      <c r="I1" s="3" t="s">
        <v>36</v>
      </c>
      <c r="J1" s="3" t="s">
        <v>0</v>
      </c>
      <c r="K1" s="3" t="s">
        <v>1</v>
      </c>
    </row>
    <row r="2" spans="1:11">
      <c r="A2" s="5" t="s">
        <v>37</v>
      </c>
      <c r="B2" s="5">
        <v>950</v>
      </c>
      <c r="C2" s="6">
        <v>1525</v>
      </c>
      <c r="D2" s="7">
        <f>IF(ISNUMBER(FIND("-",B2)),VALUE(TRIM(LEFT(B2,FIND("-",B2)-1))),VALUE(B2))</f>
        <v>950</v>
      </c>
      <c r="E2" s="5">
        <f>IF(ISNUMBER(FIND("-",C2)),VALUE(TRIM(LEFT(C2,FIND("-",C2)-1))),VALUE(C2))</f>
        <v>1525</v>
      </c>
      <c r="F2" s="8">
        <v>0.38</v>
      </c>
      <c r="G2" s="5">
        <v>2</v>
      </c>
      <c r="H2" s="5">
        <v>4.5</v>
      </c>
      <c r="I2" s="5">
        <f>E2-D2</f>
        <v>575</v>
      </c>
      <c r="J2" s="5" t="str">
        <f>IF(H2&lt;3,"Poor",IF(H2&lt;=4.4,"Average","Excellent"))</f>
        <v>Excellent</v>
      </c>
      <c r="K2" s="5" t="str">
        <f>IF(F2&lt;0.2,"Low Discount",IF(AND(F2&gt;=0.2,F2&lt;=0.4),"Medium Discount","High Discount"))</f>
        <v>Medium Discount</v>
      </c>
    </row>
    <row r="3" spans="1:11">
      <c r="A3" s="5" t="s">
        <v>38</v>
      </c>
      <c r="B3" s="5">
        <v>527</v>
      </c>
      <c r="C3" s="5">
        <v>999</v>
      </c>
      <c r="D3" s="7">
        <f t="shared" ref="D3:D34" si="0">IF(ISNUMBER(FIND("-",B3)),VALUE(TRIM(LEFT(B3,FIND("-",B3)-1))),VALUE(B3))</f>
        <v>527</v>
      </c>
      <c r="E3" s="5">
        <f t="shared" ref="E3:E34" si="1">IF(ISNUMBER(FIND("-",C3)),VALUE(TRIM(LEFT(C3,FIND("-",C3)-1))),VALUE(C3))</f>
        <v>999</v>
      </c>
      <c r="F3" s="8">
        <v>0.47</v>
      </c>
      <c r="G3" s="5">
        <v>14</v>
      </c>
      <c r="H3" s="5">
        <v>4.1</v>
      </c>
      <c r="I3" s="5">
        <f t="shared" ref="I3:I34" si="2">E3-D3</f>
        <v>472</v>
      </c>
      <c r="J3" s="5" t="str">
        <f t="shared" ref="J3:J34" si="3">IF(H3&lt;3,"Poor",IF(H3&lt;=4.4,"Average","Excellent"))</f>
        <v>Average</v>
      </c>
      <c r="K3" s="5" t="str">
        <f t="shared" ref="K3:K34" si="4">IF(F3&lt;0.2,"Low Discount",IF(AND(F3&gt;=0.2,F3&lt;=0.4),"Medium Discount","High Discount"))</f>
        <v>High Discount</v>
      </c>
    </row>
    <row r="4" spans="1:11">
      <c r="A4" s="5" t="s">
        <v>39</v>
      </c>
      <c r="B4" s="6">
        <v>2199</v>
      </c>
      <c r="C4" s="6">
        <v>2923</v>
      </c>
      <c r="D4" s="7">
        <f t="shared" si="0"/>
        <v>2199</v>
      </c>
      <c r="E4" s="5">
        <f t="shared" si="1"/>
        <v>2923</v>
      </c>
      <c r="F4" s="8">
        <v>0.25</v>
      </c>
      <c r="G4" s="5">
        <v>24</v>
      </c>
      <c r="H4" s="5">
        <v>4.6</v>
      </c>
      <c r="I4" s="5">
        <f t="shared" si="2"/>
        <v>724</v>
      </c>
      <c r="J4" s="5" t="str">
        <f t="shared" si="3"/>
        <v>Excellent</v>
      </c>
      <c r="K4" s="5" t="str">
        <f t="shared" si="4"/>
        <v>Medium Discount</v>
      </c>
    </row>
    <row r="5" spans="1:11">
      <c r="A5" s="5" t="s">
        <v>40</v>
      </c>
      <c r="B5" s="6">
        <v>1580</v>
      </c>
      <c r="C5" s="6">
        <v>2499</v>
      </c>
      <c r="D5" s="7">
        <f t="shared" si="0"/>
        <v>1580</v>
      </c>
      <c r="E5" s="5">
        <f t="shared" si="1"/>
        <v>2499</v>
      </c>
      <c r="F5" s="8">
        <v>0.37</v>
      </c>
      <c r="G5" s="5">
        <v>7</v>
      </c>
      <c r="H5" s="5">
        <v>4.7</v>
      </c>
      <c r="I5" s="5">
        <f t="shared" si="2"/>
        <v>919</v>
      </c>
      <c r="J5" s="5" t="str">
        <f t="shared" si="3"/>
        <v>Excellent</v>
      </c>
      <c r="K5" s="5" t="str">
        <f t="shared" si="4"/>
        <v>Medium Discount</v>
      </c>
    </row>
    <row r="6" spans="1:11">
      <c r="A6" s="5" t="s">
        <v>41</v>
      </c>
      <c r="B6" s="6">
        <v>1740</v>
      </c>
      <c r="C6" s="6">
        <v>2356</v>
      </c>
      <c r="D6" s="7">
        <f t="shared" si="0"/>
        <v>1740</v>
      </c>
      <c r="E6" s="5">
        <f t="shared" si="1"/>
        <v>2356</v>
      </c>
      <c r="F6" s="8">
        <v>0.26</v>
      </c>
      <c r="G6" s="5">
        <v>5</v>
      </c>
      <c r="H6" s="5">
        <v>4.8</v>
      </c>
      <c r="I6" s="5">
        <f t="shared" si="2"/>
        <v>616</v>
      </c>
      <c r="J6" s="5" t="str">
        <f t="shared" si="3"/>
        <v>Excellent</v>
      </c>
      <c r="K6" s="5" t="str">
        <f t="shared" si="4"/>
        <v>Medium Discount</v>
      </c>
    </row>
    <row r="7" spans="1:11">
      <c r="A7" s="5" t="s">
        <v>42</v>
      </c>
      <c r="B7" s="6">
        <v>2999</v>
      </c>
      <c r="C7" s="6">
        <v>3290</v>
      </c>
      <c r="D7" s="7">
        <f t="shared" si="0"/>
        <v>2999</v>
      </c>
      <c r="E7" s="5">
        <f t="shared" si="1"/>
        <v>3290</v>
      </c>
      <c r="F7" s="8">
        <v>0.09</v>
      </c>
      <c r="G7" s="5">
        <v>15</v>
      </c>
      <c r="H7" s="5">
        <v>4</v>
      </c>
      <c r="I7" s="5">
        <f t="shared" si="2"/>
        <v>291</v>
      </c>
      <c r="J7" s="5" t="str">
        <f t="shared" si="3"/>
        <v>Average</v>
      </c>
      <c r="K7" s="5" t="str">
        <f t="shared" si="4"/>
        <v>Low Discount</v>
      </c>
    </row>
    <row r="8" spans="1:11">
      <c r="A8" s="5" t="s">
        <v>43</v>
      </c>
      <c r="B8" s="6">
        <v>2319</v>
      </c>
      <c r="C8" s="6">
        <v>3032</v>
      </c>
      <c r="D8" s="7">
        <f t="shared" si="0"/>
        <v>2319</v>
      </c>
      <c r="E8" s="5">
        <f t="shared" si="1"/>
        <v>3032</v>
      </c>
      <c r="F8" s="8">
        <v>0.24</v>
      </c>
      <c r="G8" s="5">
        <v>55</v>
      </c>
      <c r="H8" s="5">
        <v>4.6</v>
      </c>
      <c r="I8" s="5">
        <f t="shared" si="2"/>
        <v>713</v>
      </c>
      <c r="J8" s="5" t="str">
        <f t="shared" si="3"/>
        <v>Excellent</v>
      </c>
      <c r="K8" s="5" t="str">
        <f t="shared" si="4"/>
        <v>Medium Discount</v>
      </c>
    </row>
    <row r="9" spans="1:11">
      <c r="A9" s="5" t="s">
        <v>44</v>
      </c>
      <c r="B9" s="5">
        <v>988</v>
      </c>
      <c r="C9" s="6">
        <v>1580</v>
      </c>
      <c r="D9" s="7">
        <f t="shared" si="0"/>
        <v>988</v>
      </c>
      <c r="E9" s="5">
        <f t="shared" si="1"/>
        <v>1580</v>
      </c>
      <c r="F9" s="8">
        <v>0.37</v>
      </c>
      <c r="G9" s="5">
        <v>2</v>
      </c>
      <c r="H9" s="5">
        <v>4</v>
      </c>
      <c r="I9" s="5">
        <f t="shared" si="2"/>
        <v>592</v>
      </c>
      <c r="J9" s="5" t="str">
        <f t="shared" si="3"/>
        <v>Average</v>
      </c>
      <c r="K9" s="5" t="str">
        <f t="shared" si="4"/>
        <v>Medium Discount</v>
      </c>
    </row>
    <row r="10" spans="1:11">
      <c r="A10" s="5" t="s">
        <v>45</v>
      </c>
      <c r="B10" s="6">
        <v>1274</v>
      </c>
      <c r="C10" s="6">
        <v>2800</v>
      </c>
      <c r="D10" s="7">
        <f t="shared" si="0"/>
        <v>1274</v>
      </c>
      <c r="E10" s="5">
        <f t="shared" si="1"/>
        <v>2800</v>
      </c>
      <c r="F10" s="8">
        <v>0.55</v>
      </c>
      <c r="G10" s="5">
        <v>5</v>
      </c>
      <c r="H10" s="5">
        <v>4.8</v>
      </c>
      <c r="I10" s="5">
        <f t="shared" si="2"/>
        <v>1526</v>
      </c>
      <c r="J10" s="5" t="str">
        <f t="shared" si="3"/>
        <v>Excellent</v>
      </c>
      <c r="K10" s="5" t="str">
        <f t="shared" si="4"/>
        <v>High Discount</v>
      </c>
    </row>
    <row r="11" spans="1:11">
      <c r="A11" s="5" t="s">
        <v>46</v>
      </c>
      <c r="B11" s="6">
        <v>1600</v>
      </c>
      <c r="C11" s="6">
        <v>2929</v>
      </c>
      <c r="D11" s="7">
        <f t="shared" si="0"/>
        <v>1600</v>
      </c>
      <c r="E11" s="5">
        <f t="shared" si="1"/>
        <v>2929</v>
      </c>
      <c r="F11" s="8">
        <v>0.45</v>
      </c>
      <c r="G11" s="5">
        <v>5</v>
      </c>
      <c r="H11" s="5">
        <v>3.8</v>
      </c>
      <c r="I11" s="5">
        <f t="shared" si="2"/>
        <v>1329</v>
      </c>
      <c r="J11" s="5" t="str">
        <f t="shared" si="3"/>
        <v>Average</v>
      </c>
      <c r="K11" s="5" t="str">
        <f t="shared" si="4"/>
        <v>High Discount</v>
      </c>
    </row>
    <row r="12" spans="1:11">
      <c r="A12" s="5" t="s">
        <v>47</v>
      </c>
      <c r="B12" s="5">
        <v>799</v>
      </c>
      <c r="C12" s="5">
        <v>999</v>
      </c>
      <c r="D12" s="7">
        <f t="shared" si="0"/>
        <v>799</v>
      </c>
      <c r="E12" s="5">
        <f t="shared" si="1"/>
        <v>999</v>
      </c>
      <c r="F12" s="8">
        <v>0.2</v>
      </c>
      <c r="G12" s="5">
        <v>12</v>
      </c>
      <c r="H12" s="5">
        <v>4.1</v>
      </c>
      <c r="I12" s="5">
        <f t="shared" si="2"/>
        <v>200</v>
      </c>
      <c r="J12" s="5" t="str">
        <f t="shared" si="3"/>
        <v>Average</v>
      </c>
      <c r="K12" s="5" t="str">
        <f t="shared" si="4"/>
        <v>Medium Discount</v>
      </c>
    </row>
    <row r="13" spans="1:11">
      <c r="A13" s="5" t="s">
        <v>48</v>
      </c>
      <c r="B13" s="5">
        <v>990</v>
      </c>
      <c r="C13" s="6">
        <v>1500</v>
      </c>
      <c r="D13" s="7">
        <f t="shared" si="0"/>
        <v>990</v>
      </c>
      <c r="E13" s="5">
        <f t="shared" si="1"/>
        <v>1500</v>
      </c>
      <c r="F13" s="8">
        <v>0.34</v>
      </c>
      <c r="G13" s="5">
        <v>39</v>
      </c>
      <c r="H13" s="5">
        <v>4.7</v>
      </c>
      <c r="I13" s="5">
        <f t="shared" si="2"/>
        <v>510</v>
      </c>
      <c r="J13" s="5" t="str">
        <f t="shared" si="3"/>
        <v>Excellent</v>
      </c>
      <c r="K13" s="5" t="str">
        <f t="shared" si="4"/>
        <v>Medium Discount</v>
      </c>
    </row>
    <row r="14" spans="1:11">
      <c r="A14" s="5" t="s">
        <v>49</v>
      </c>
      <c r="B14" s="5">
        <v>552</v>
      </c>
      <c r="C14" s="6">
        <v>1035</v>
      </c>
      <c r="D14" s="7">
        <f t="shared" si="0"/>
        <v>552</v>
      </c>
      <c r="E14" s="5">
        <f t="shared" si="1"/>
        <v>1035</v>
      </c>
      <c r="F14" s="8">
        <v>0.47</v>
      </c>
      <c r="G14" s="5">
        <v>12</v>
      </c>
      <c r="H14" s="5">
        <v>4.8</v>
      </c>
      <c r="I14" s="5">
        <f t="shared" si="2"/>
        <v>483</v>
      </c>
      <c r="J14" s="5" t="str">
        <f t="shared" si="3"/>
        <v>Excellent</v>
      </c>
      <c r="K14" s="5" t="str">
        <f t="shared" si="4"/>
        <v>High Discount</v>
      </c>
    </row>
    <row r="15" spans="1:11">
      <c r="A15" s="5" t="s">
        <v>50</v>
      </c>
      <c r="B15" s="5">
        <v>501</v>
      </c>
      <c r="C15" s="5">
        <v>860</v>
      </c>
      <c r="D15" s="7">
        <f t="shared" si="0"/>
        <v>501</v>
      </c>
      <c r="E15" s="5">
        <f t="shared" si="1"/>
        <v>860</v>
      </c>
      <c r="F15" s="8">
        <v>0.42</v>
      </c>
      <c r="G15" s="5">
        <v>6</v>
      </c>
      <c r="H15" s="5">
        <v>4.5</v>
      </c>
      <c r="I15" s="5">
        <f t="shared" si="2"/>
        <v>359</v>
      </c>
      <c r="J15" s="5" t="str">
        <f t="shared" si="3"/>
        <v>Excellent</v>
      </c>
      <c r="K15" s="5" t="str">
        <f t="shared" si="4"/>
        <v>High Discount</v>
      </c>
    </row>
    <row r="16" spans="1:11">
      <c r="A16" s="5" t="s">
        <v>51</v>
      </c>
      <c r="B16" s="6">
        <v>1680</v>
      </c>
      <c r="C16" s="6">
        <v>2499</v>
      </c>
      <c r="D16" s="7">
        <f t="shared" si="0"/>
        <v>1680</v>
      </c>
      <c r="E16" s="5">
        <f t="shared" si="1"/>
        <v>2499</v>
      </c>
      <c r="F16" s="8">
        <v>0.33</v>
      </c>
      <c r="G16" s="5">
        <v>9</v>
      </c>
      <c r="H16" s="5">
        <v>4.2</v>
      </c>
      <c r="I16" s="5">
        <f t="shared" si="2"/>
        <v>819</v>
      </c>
      <c r="J16" s="5" t="str">
        <f t="shared" si="3"/>
        <v>Average</v>
      </c>
      <c r="K16" s="5" t="str">
        <f t="shared" si="4"/>
        <v>Medium Discount</v>
      </c>
    </row>
    <row r="17" spans="1:11">
      <c r="A17" s="5" t="s">
        <v>52</v>
      </c>
      <c r="B17" s="5">
        <v>332</v>
      </c>
      <c r="C17" s="5">
        <v>684</v>
      </c>
      <c r="D17" s="7">
        <f t="shared" si="0"/>
        <v>332</v>
      </c>
      <c r="E17" s="5">
        <f t="shared" si="1"/>
        <v>684</v>
      </c>
      <c r="F17" s="8">
        <v>0.51</v>
      </c>
      <c r="G17" s="5">
        <v>2</v>
      </c>
      <c r="H17" s="5">
        <v>5</v>
      </c>
      <c r="I17" s="5">
        <f t="shared" si="2"/>
        <v>352</v>
      </c>
      <c r="J17" s="5" t="str">
        <f t="shared" si="3"/>
        <v>Excellent</v>
      </c>
      <c r="K17" s="5" t="str">
        <f t="shared" si="4"/>
        <v>High Discount</v>
      </c>
    </row>
    <row r="18" spans="1:11">
      <c r="A18" s="5" t="s">
        <v>53</v>
      </c>
      <c r="B18" s="5">
        <v>195</v>
      </c>
      <c r="C18" s="5">
        <v>360</v>
      </c>
      <c r="D18" s="7">
        <f t="shared" si="0"/>
        <v>195</v>
      </c>
      <c r="E18" s="5">
        <f t="shared" si="1"/>
        <v>360</v>
      </c>
      <c r="F18" s="8">
        <v>0.46</v>
      </c>
      <c r="G18" s="5">
        <v>2</v>
      </c>
      <c r="H18" s="5">
        <v>5</v>
      </c>
      <c r="I18" s="5">
        <f t="shared" si="2"/>
        <v>165</v>
      </c>
      <c r="J18" s="5" t="str">
        <f t="shared" si="3"/>
        <v>Excellent</v>
      </c>
      <c r="K18" s="5" t="str">
        <f t="shared" si="4"/>
        <v>High Discount</v>
      </c>
    </row>
    <row r="19" spans="1:11">
      <c r="A19" s="5" t="s">
        <v>54</v>
      </c>
      <c r="B19" s="6">
        <v>2025</v>
      </c>
      <c r="C19" s="6">
        <v>3971</v>
      </c>
      <c r="D19" s="7">
        <f t="shared" si="0"/>
        <v>2025</v>
      </c>
      <c r="E19" s="5">
        <f t="shared" si="1"/>
        <v>3971</v>
      </c>
      <c r="F19" s="8">
        <v>0.49</v>
      </c>
      <c r="G19" s="5">
        <v>3</v>
      </c>
      <c r="H19" s="5">
        <v>5</v>
      </c>
      <c r="I19" s="5">
        <f t="shared" si="2"/>
        <v>1946</v>
      </c>
      <c r="J19" s="5" t="str">
        <f t="shared" si="3"/>
        <v>Excellent</v>
      </c>
      <c r="K19" s="5" t="str">
        <f t="shared" si="4"/>
        <v>High Discount</v>
      </c>
    </row>
    <row r="20" spans="1:11">
      <c r="A20" s="5" t="s">
        <v>55</v>
      </c>
      <c r="B20" s="6">
        <v>2999</v>
      </c>
      <c r="C20" s="6">
        <v>3699</v>
      </c>
      <c r="D20" s="7">
        <f t="shared" si="0"/>
        <v>2999</v>
      </c>
      <c r="E20" s="5">
        <f t="shared" si="1"/>
        <v>3699</v>
      </c>
      <c r="F20" s="8">
        <v>0.19</v>
      </c>
      <c r="G20" s="5">
        <v>5</v>
      </c>
      <c r="H20" s="5">
        <v>4.6</v>
      </c>
      <c r="I20" s="5">
        <f t="shared" si="2"/>
        <v>700</v>
      </c>
      <c r="J20" s="5" t="str">
        <f t="shared" si="3"/>
        <v>Excellent</v>
      </c>
      <c r="K20" s="5" t="str">
        <f t="shared" si="4"/>
        <v>Low Discount</v>
      </c>
    </row>
    <row r="21" spans="1:11">
      <c r="A21" s="5" t="s">
        <v>56</v>
      </c>
      <c r="B21" s="5">
        <v>998</v>
      </c>
      <c r="C21" s="6">
        <v>1966</v>
      </c>
      <c r="D21" s="7">
        <f t="shared" si="0"/>
        <v>998</v>
      </c>
      <c r="E21" s="5">
        <f t="shared" si="1"/>
        <v>1966</v>
      </c>
      <c r="F21" s="8">
        <v>0.49</v>
      </c>
      <c r="G21" s="5">
        <v>44</v>
      </c>
      <c r="H21" s="5">
        <v>4.6</v>
      </c>
      <c r="I21" s="5">
        <f t="shared" si="2"/>
        <v>968</v>
      </c>
      <c r="J21" s="5" t="str">
        <f t="shared" si="3"/>
        <v>Excellent</v>
      </c>
      <c r="K21" s="5" t="str">
        <f t="shared" si="4"/>
        <v>High Discount</v>
      </c>
    </row>
    <row r="22" spans="1:11">
      <c r="A22" s="5" t="s">
        <v>57</v>
      </c>
      <c r="B22" s="5">
        <v>38</v>
      </c>
      <c r="C22" s="5">
        <v>80</v>
      </c>
      <c r="D22" s="7">
        <f t="shared" si="0"/>
        <v>38</v>
      </c>
      <c r="E22" s="5">
        <f t="shared" si="1"/>
        <v>80</v>
      </c>
      <c r="F22" s="8">
        <v>0.53</v>
      </c>
      <c r="G22" s="5">
        <v>13</v>
      </c>
      <c r="H22" s="5">
        <v>3.3</v>
      </c>
      <c r="I22" s="5">
        <f t="shared" si="2"/>
        <v>42</v>
      </c>
      <c r="J22" s="5" t="str">
        <f t="shared" si="3"/>
        <v>Average</v>
      </c>
      <c r="K22" s="5" t="str">
        <f t="shared" si="4"/>
        <v>High Discount</v>
      </c>
    </row>
    <row r="23" spans="1:11">
      <c r="A23" s="5" t="s">
        <v>58</v>
      </c>
      <c r="B23" s="6">
        <v>1860</v>
      </c>
      <c r="C23" s="6">
        <v>3220</v>
      </c>
      <c r="D23" s="7">
        <f t="shared" si="0"/>
        <v>1860</v>
      </c>
      <c r="E23" s="5">
        <f t="shared" si="1"/>
        <v>3220</v>
      </c>
      <c r="F23" s="8">
        <v>0.42</v>
      </c>
      <c r="G23" s="5">
        <v>0</v>
      </c>
      <c r="H23" s="5">
        <v>0</v>
      </c>
      <c r="I23" s="5">
        <f t="shared" si="2"/>
        <v>1360</v>
      </c>
      <c r="J23" s="5" t="str">
        <f t="shared" si="3"/>
        <v>Poor</v>
      </c>
      <c r="K23" s="5" t="str">
        <f t="shared" si="4"/>
        <v>High Discount</v>
      </c>
    </row>
    <row r="24" spans="1:11">
      <c r="A24" s="5" t="s">
        <v>59</v>
      </c>
      <c r="B24" s="5">
        <v>880</v>
      </c>
      <c r="C24" s="6">
        <v>1350</v>
      </c>
      <c r="D24" s="7">
        <f t="shared" si="0"/>
        <v>880</v>
      </c>
      <c r="E24" s="5">
        <f t="shared" si="1"/>
        <v>1350</v>
      </c>
      <c r="F24" s="8">
        <v>0.35</v>
      </c>
      <c r="G24" s="5">
        <v>6</v>
      </c>
      <c r="H24" s="5">
        <v>4</v>
      </c>
      <c r="I24" s="5">
        <f t="shared" si="2"/>
        <v>470</v>
      </c>
      <c r="J24" s="5" t="str">
        <f t="shared" si="3"/>
        <v>Average</v>
      </c>
      <c r="K24" s="5" t="str">
        <f t="shared" si="4"/>
        <v>Medium Discount</v>
      </c>
    </row>
    <row r="25" spans="1:11">
      <c r="A25" s="5" t="s">
        <v>60</v>
      </c>
      <c r="B25" s="6">
        <v>1650</v>
      </c>
      <c r="C25" s="6">
        <v>2150</v>
      </c>
      <c r="D25" s="7">
        <f t="shared" si="0"/>
        <v>1650</v>
      </c>
      <c r="E25" s="5">
        <f t="shared" si="1"/>
        <v>2150</v>
      </c>
      <c r="F25" s="8">
        <v>0.23</v>
      </c>
      <c r="G25" s="5">
        <v>14</v>
      </c>
      <c r="H25" s="5">
        <v>4.4</v>
      </c>
      <c r="I25" s="5">
        <f t="shared" si="2"/>
        <v>500</v>
      </c>
      <c r="J25" s="5" t="str">
        <f t="shared" si="3"/>
        <v>Average</v>
      </c>
      <c r="K25" s="5" t="str">
        <f t="shared" si="4"/>
        <v>Medium Discount</v>
      </c>
    </row>
    <row r="26" spans="1:11">
      <c r="A26" s="5" t="s">
        <v>61</v>
      </c>
      <c r="B26" s="6">
        <v>2048</v>
      </c>
      <c r="C26" s="6">
        <v>4500</v>
      </c>
      <c r="D26" s="7">
        <f t="shared" si="0"/>
        <v>2048</v>
      </c>
      <c r="E26" s="5">
        <f t="shared" si="1"/>
        <v>4500</v>
      </c>
      <c r="F26" s="8">
        <v>0.54</v>
      </c>
      <c r="G26" s="5">
        <v>7</v>
      </c>
      <c r="H26" s="5">
        <v>4.3</v>
      </c>
      <c r="I26" s="5">
        <f t="shared" si="2"/>
        <v>2452</v>
      </c>
      <c r="J26" s="5" t="str">
        <f t="shared" si="3"/>
        <v>Average</v>
      </c>
      <c r="K26" s="5" t="str">
        <f t="shared" si="4"/>
        <v>High Discount</v>
      </c>
    </row>
    <row r="27" spans="1:11">
      <c r="A27" s="5" t="s">
        <v>62</v>
      </c>
      <c r="B27" s="5">
        <v>420</v>
      </c>
      <c r="C27" s="5">
        <v>647</v>
      </c>
      <c r="D27" s="7">
        <f t="shared" si="0"/>
        <v>420</v>
      </c>
      <c r="E27" s="5">
        <f t="shared" si="1"/>
        <v>647</v>
      </c>
      <c r="F27" s="8">
        <v>0.35</v>
      </c>
      <c r="G27" s="5">
        <v>49</v>
      </c>
      <c r="H27" s="5">
        <v>4.6</v>
      </c>
      <c r="I27" s="5">
        <f t="shared" si="2"/>
        <v>227</v>
      </c>
      <c r="J27" s="5" t="str">
        <f t="shared" si="3"/>
        <v>Excellent</v>
      </c>
      <c r="K27" s="5" t="str">
        <f t="shared" si="4"/>
        <v>Medium Discount</v>
      </c>
    </row>
    <row r="28" spans="1:11">
      <c r="A28" s="5" t="s">
        <v>63</v>
      </c>
      <c r="B28" s="6">
        <v>2880</v>
      </c>
      <c r="C28" s="6">
        <v>3520</v>
      </c>
      <c r="D28" s="7">
        <f t="shared" si="0"/>
        <v>2880</v>
      </c>
      <c r="E28" s="5">
        <f t="shared" si="1"/>
        <v>3520</v>
      </c>
      <c r="F28" s="8">
        <v>0.18</v>
      </c>
      <c r="G28" s="5">
        <v>12</v>
      </c>
      <c r="H28" s="5">
        <v>3.8</v>
      </c>
      <c r="I28" s="5">
        <f t="shared" si="2"/>
        <v>640</v>
      </c>
      <c r="J28" s="5" t="str">
        <f t="shared" si="3"/>
        <v>Average</v>
      </c>
      <c r="K28" s="5" t="str">
        <f t="shared" si="4"/>
        <v>Low Discount</v>
      </c>
    </row>
    <row r="29" spans="1:11">
      <c r="A29" s="5" t="s">
        <v>64</v>
      </c>
      <c r="B29" s="6">
        <v>1350</v>
      </c>
      <c r="C29" s="6">
        <v>1990</v>
      </c>
      <c r="D29" s="7">
        <f t="shared" si="0"/>
        <v>1350</v>
      </c>
      <c r="E29" s="5">
        <f t="shared" si="1"/>
        <v>1990</v>
      </c>
      <c r="F29" s="8">
        <v>0.32</v>
      </c>
      <c r="G29" s="5">
        <v>13</v>
      </c>
      <c r="H29" s="5">
        <v>3.8</v>
      </c>
      <c r="I29" s="5">
        <f t="shared" si="2"/>
        <v>640</v>
      </c>
      <c r="J29" s="5" t="str">
        <f t="shared" si="3"/>
        <v>Average</v>
      </c>
      <c r="K29" s="5" t="str">
        <f t="shared" si="4"/>
        <v>Medium Discount</v>
      </c>
    </row>
    <row r="30" spans="1:11">
      <c r="A30" s="5" t="s">
        <v>65</v>
      </c>
      <c r="B30" s="6">
        <v>1758</v>
      </c>
      <c r="C30" s="6">
        <v>2499</v>
      </c>
      <c r="D30" s="7">
        <f t="shared" si="0"/>
        <v>1758</v>
      </c>
      <c r="E30" s="5">
        <f t="shared" si="1"/>
        <v>2499</v>
      </c>
      <c r="F30" s="8">
        <v>0.3</v>
      </c>
      <c r="G30" s="5">
        <v>20</v>
      </c>
      <c r="H30" s="5">
        <v>4.1</v>
      </c>
      <c r="I30" s="5">
        <f t="shared" si="2"/>
        <v>741</v>
      </c>
      <c r="J30" s="5" t="str">
        <f t="shared" si="3"/>
        <v>Average</v>
      </c>
      <c r="K30" s="5" t="str">
        <f t="shared" si="4"/>
        <v>Medium Discount</v>
      </c>
    </row>
    <row r="31" spans="1:11">
      <c r="A31" s="5" t="s">
        <v>66</v>
      </c>
      <c r="B31" s="6">
        <v>2200</v>
      </c>
      <c r="C31" s="6">
        <v>4080</v>
      </c>
      <c r="D31" s="7">
        <f t="shared" si="0"/>
        <v>2200</v>
      </c>
      <c r="E31" s="5">
        <f t="shared" si="1"/>
        <v>4080</v>
      </c>
      <c r="F31" s="8">
        <v>0.46</v>
      </c>
      <c r="G31" s="5">
        <v>0</v>
      </c>
      <c r="H31" s="5">
        <v>0</v>
      </c>
      <c r="I31" s="5">
        <f t="shared" si="2"/>
        <v>1880</v>
      </c>
      <c r="J31" s="5" t="str">
        <f t="shared" si="3"/>
        <v>Poor</v>
      </c>
      <c r="K31" s="5" t="str">
        <f t="shared" si="4"/>
        <v>High Discount</v>
      </c>
    </row>
    <row r="32" spans="1:11">
      <c r="A32" s="5" t="s">
        <v>67</v>
      </c>
      <c r="B32" s="5">
        <v>185</v>
      </c>
      <c r="C32" s="5">
        <v>382</v>
      </c>
      <c r="D32" s="7">
        <f t="shared" si="0"/>
        <v>185</v>
      </c>
      <c r="E32" s="5">
        <f t="shared" si="1"/>
        <v>382</v>
      </c>
      <c r="F32" s="8">
        <v>0.52</v>
      </c>
      <c r="G32" s="5">
        <v>9</v>
      </c>
      <c r="H32" s="5">
        <v>4.3</v>
      </c>
      <c r="I32" s="5">
        <f t="shared" si="2"/>
        <v>197</v>
      </c>
      <c r="J32" s="5" t="str">
        <f t="shared" si="3"/>
        <v>Average</v>
      </c>
      <c r="K32" s="5" t="str">
        <f t="shared" si="4"/>
        <v>High Discount</v>
      </c>
    </row>
    <row r="33" spans="1:11">
      <c r="A33" s="5" t="s">
        <v>68</v>
      </c>
      <c r="B33" s="5">
        <v>980</v>
      </c>
      <c r="C33" s="6">
        <v>1490</v>
      </c>
      <c r="D33" s="7">
        <f t="shared" si="0"/>
        <v>980</v>
      </c>
      <c r="E33" s="5">
        <f t="shared" si="1"/>
        <v>1490</v>
      </c>
      <c r="F33" s="8">
        <v>0.34</v>
      </c>
      <c r="G33" s="5">
        <v>12</v>
      </c>
      <c r="H33" s="5">
        <v>4.7</v>
      </c>
      <c r="I33" s="5">
        <f t="shared" si="2"/>
        <v>510</v>
      </c>
      <c r="J33" s="5" t="str">
        <f t="shared" si="3"/>
        <v>Excellent</v>
      </c>
      <c r="K33" s="5" t="str">
        <f t="shared" si="4"/>
        <v>Medium Discount</v>
      </c>
    </row>
    <row r="34" spans="1:11">
      <c r="A34" s="5" t="s">
        <v>69</v>
      </c>
      <c r="B34" s="6">
        <v>1820</v>
      </c>
      <c r="C34" s="6">
        <v>3490</v>
      </c>
      <c r="D34" s="7">
        <f t="shared" si="0"/>
        <v>1820</v>
      </c>
      <c r="E34" s="5">
        <f t="shared" si="1"/>
        <v>3490</v>
      </c>
      <c r="F34" s="8">
        <v>0.48</v>
      </c>
      <c r="G34" s="5">
        <v>9</v>
      </c>
      <c r="H34" s="5">
        <v>4.3</v>
      </c>
      <c r="I34" s="5">
        <f t="shared" si="2"/>
        <v>1670</v>
      </c>
      <c r="J34" s="5" t="str">
        <f t="shared" si="3"/>
        <v>Average</v>
      </c>
      <c r="K34" s="5" t="str">
        <f t="shared" si="4"/>
        <v>High Discount</v>
      </c>
    </row>
    <row r="35" spans="1:11">
      <c r="A35" s="5" t="s">
        <v>70</v>
      </c>
      <c r="B35" s="6">
        <v>1940</v>
      </c>
      <c r="C35" s="6">
        <v>2650</v>
      </c>
      <c r="D35" s="7">
        <f t="shared" ref="D35:D66" si="5">IF(ISNUMBER(FIND("-",B35)),VALUE(TRIM(LEFT(B35,FIND("-",B35)-1))),VALUE(B35))</f>
        <v>1940</v>
      </c>
      <c r="E35" s="5">
        <f t="shared" ref="E35:E66" si="6">IF(ISNUMBER(FIND("-",C35)),VALUE(TRIM(LEFT(C35,FIND("-",C35)-1))),VALUE(C35))</f>
        <v>2650</v>
      </c>
      <c r="F35" s="8">
        <v>0.27</v>
      </c>
      <c r="G35" s="5">
        <v>20</v>
      </c>
      <c r="H35" s="5">
        <v>4.7</v>
      </c>
      <c r="I35" s="5">
        <f t="shared" ref="I35:I66" si="7">E35-D35</f>
        <v>710</v>
      </c>
      <c r="J35" s="5" t="str">
        <f t="shared" ref="J35:J66" si="8">IF(H35&lt;3,"Poor",IF(H35&lt;=4.4,"Average","Excellent"))</f>
        <v>Excellent</v>
      </c>
      <c r="K35" s="5" t="str">
        <f t="shared" ref="K35:K66" si="9">IF(F35&lt;0.2,"Low Discount",IF(AND(F35&gt;=0.2,F35&lt;=0.4),"Medium Discount","High Discount"))</f>
        <v>Medium Discount</v>
      </c>
    </row>
    <row r="36" spans="1:11">
      <c r="A36" s="5" t="s">
        <v>71</v>
      </c>
      <c r="B36" s="6">
        <v>1980</v>
      </c>
      <c r="C36" s="6">
        <v>2699</v>
      </c>
      <c r="D36" s="7">
        <f t="shared" si="5"/>
        <v>1980</v>
      </c>
      <c r="E36" s="5">
        <f t="shared" si="6"/>
        <v>2699</v>
      </c>
      <c r="F36" s="8">
        <v>0.27</v>
      </c>
      <c r="G36" s="5">
        <v>32</v>
      </c>
      <c r="H36" s="5">
        <v>4.5</v>
      </c>
      <c r="I36" s="5">
        <f t="shared" si="7"/>
        <v>719</v>
      </c>
      <c r="J36" s="5" t="str">
        <f t="shared" si="8"/>
        <v>Excellent</v>
      </c>
      <c r="K36" s="5" t="str">
        <f t="shared" si="9"/>
        <v>Medium Discount</v>
      </c>
    </row>
    <row r="37" spans="1:11">
      <c r="A37" s="5" t="s">
        <v>72</v>
      </c>
      <c r="B37" s="6">
        <v>1620</v>
      </c>
      <c r="C37" s="6">
        <v>2690</v>
      </c>
      <c r="D37" s="7">
        <f t="shared" si="5"/>
        <v>1620</v>
      </c>
      <c r="E37" s="5">
        <f t="shared" si="6"/>
        <v>2690</v>
      </c>
      <c r="F37" s="8">
        <v>0.4</v>
      </c>
      <c r="G37" s="5">
        <v>1</v>
      </c>
      <c r="H37" s="5">
        <v>5</v>
      </c>
      <c r="I37" s="5">
        <f t="shared" si="7"/>
        <v>1070</v>
      </c>
      <c r="J37" s="5" t="str">
        <f t="shared" si="8"/>
        <v>Excellent</v>
      </c>
      <c r="K37" s="5" t="str">
        <f t="shared" si="9"/>
        <v>Medium Discount</v>
      </c>
    </row>
    <row r="38" spans="1:11">
      <c r="A38" s="5" t="s">
        <v>73</v>
      </c>
      <c r="B38" s="5">
        <v>171</v>
      </c>
      <c r="C38" s="5">
        <v>360</v>
      </c>
      <c r="D38" s="7">
        <f t="shared" si="5"/>
        <v>171</v>
      </c>
      <c r="E38" s="5">
        <f t="shared" si="6"/>
        <v>360</v>
      </c>
      <c r="F38" s="8">
        <v>0.53</v>
      </c>
      <c r="G38" s="5">
        <v>2</v>
      </c>
      <c r="H38" s="5">
        <v>5</v>
      </c>
      <c r="I38" s="5">
        <f t="shared" si="7"/>
        <v>189</v>
      </c>
      <c r="J38" s="5" t="str">
        <f t="shared" si="8"/>
        <v>Excellent</v>
      </c>
      <c r="K38" s="5" t="str">
        <f t="shared" si="9"/>
        <v>High Discount</v>
      </c>
    </row>
    <row r="39" spans="1:11">
      <c r="A39" s="5" t="s">
        <v>74</v>
      </c>
      <c r="B39" s="5">
        <v>389</v>
      </c>
      <c r="C39" s="5">
        <v>656</v>
      </c>
      <c r="D39" s="7">
        <f t="shared" si="5"/>
        <v>389</v>
      </c>
      <c r="E39" s="5">
        <f t="shared" si="6"/>
        <v>656</v>
      </c>
      <c r="F39" s="8">
        <v>0.41</v>
      </c>
      <c r="G39" s="5">
        <v>36</v>
      </c>
      <c r="H39" s="5">
        <v>4.3</v>
      </c>
      <c r="I39" s="5">
        <f t="shared" si="7"/>
        <v>267</v>
      </c>
      <c r="J39" s="5" t="str">
        <f t="shared" si="8"/>
        <v>Average</v>
      </c>
      <c r="K39" s="5" t="str">
        <f t="shared" si="9"/>
        <v>High Discount</v>
      </c>
    </row>
    <row r="40" spans="1:11">
      <c r="A40" s="5" t="s">
        <v>75</v>
      </c>
      <c r="B40" s="5" t="s">
        <v>76</v>
      </c>
      <c r="C40" s="5" t="s">
        <v>77</v>
      </c>
      <c r="D40" s="7">
        <f t="shared" si="5"/>
        <v>1620</v>
      </c>
      <c r="E40" s="5">
        <f t="shared" si="6"/>
        <v>2200</v>
      </c>
      <c r="F40" s="8">
        <v>0.38</v>
      </c>
      <c r="G40" s="5">
        <v>2</v>
      </c>
      <c r="H40" s="5">
        <v>4.5</v>
      </c>
      <c r="I40" s="5">
        <f t="shared" si="7"/>
        <v>580</v>
      </c>
      <c r="J40" s="5" t="str">
        <f t="shared" si="8"/>
        <v>Excellent</v>
      </c>
      <c r="K40" s="5" t="str">
        <f t="shared" si="9"/>
        <v>Medium Discount</v>
      </c>
    </row>
    <row r="41" spans="1:11">
      <c r="A41" s="5" t="s">
        <v>78</v>
      </c>
      <c r="B41" s="6">
        <v>2750</v>
      </c>
      <c r="C41" s="6">
        <v>4471</v>
      </c>
      <c r="D41" s="7">
        <f t="shared" si="5"/>
        <v>2750</v>
      </c>
      <c r="E41" s="5">
        <f t="shared" si="6"/>
        <v>4471</v>
      </c>
      <c r="F41" s="8">
        <v>0.38</v>
      </c>
      <c r="G41" s="5">
        <v>0</v>
      </c>
      <c r="H41" s="5">
        <v>0</v>
      </c>
      <c r="I41" s="5">
        <f t="shared" si="7"/>
        <v>1721</v>
      </c>
      <c r="J41" s="5" t="str">
        <f t="shared" si="8"/>
        <v>Poor</v>
      </c>
      <c r="K41" s="5" t="str">
        <f t="shared" si="9"/>
        <v>Medium Discount</v>
      </c>
    </row>
    <row r="42" spans="1:11">
      <c r="A42" s="5" t="s">
        <v>79</v>
      </c>
      <c r="B42" s="5">
        <v>475</v>
      </c>
      <c r="C42" s="5">
        <v>931</v>
      </c>
      <c r="D42" s="7">
        <f t="shared" si="5"/>
        <v>475</v>
      </c>
      <c r="E42" s="5">
        <f t="shared" si="6"/>
        <v>931</v>
      </c>
      <c r="F42" s="8">
        <v>0.49</v>
      </c>
      <c r="G42" s="5">
        <v>0</v>
      </c>
      <c r="H42" s="5">
        <v>0</v>
      </c>
      <c r="I42" s="5">
        <f t="shared" si="7"/>
        <v>456</v>
      </c>
      <c r="J42" s="5" t="str">
        <f t="shared" si="8"/>
        <v>Poor</v>
      </c>
      <c r="K42" s="5" t="str">
        <f t="shared" si="9"/>
        <v>High Discount</v>
      </c>
    </row>
    <row r="43" spans="1:11">
      <c r="A43" s="5" t="s">
        <v>80</v>
      </c>
      <c r="B43" s="5">
        <v>238</v>
      </c>
      <c r="C43" s="5">
        <v>476</v>
      </c>
      <c r="D43" s="7">
        <f t="shared" si="5"/>
        <v>238</v>
      </c>
      <c r="E43" s="5">
        <f t="shared" si="6"/>
        <v>476</v>
      </c>
      <c r="F43" s="8">
        <v>0.5</v>
      </c>
      <c r="G43" s="5">
        <v>0</v>
      </c>
      <c r="H43" s="5">
        <v>0</v>
      </c>
      <c r="I43" s="5">
        <f t="shared" si="7"/>
        <v>238</v>
      </c>
      <c r="J43" s="5" t="str">
        <f t="shared" si="8"/>
        <v>Poor</v>
      </c>
      <c r="K43" s="5" t="str">
        <f t="shared" si="9"/>
        <v>High Discount</v>
      </c>
    </row>
    <row r="44" spans="1:11">
      <c r="A44" s="5" t="s">
        <v>81</v>
      </c>
      <c r="B44" s="5">
        <v>610</v>
      </c>
      <c r="C44" s="6">
        <v>1060</v>
      </c>
      <c r="D44" s="7">
        <f t="shared" si="5"/>
        <v>610</v>
      </c>
      <c r="E44" s="5">
        <f t="shared" si="6"/>
        <v>1060</v>
      </c>
      <c r="F44" s="8">
        <v>0.42</v>
      </c>
      <c r="G44" s="5">
        <v>0</v>
      </c>
      <c r="H44" s="5">
        <v>0</v>
      </c>
      <c r="I44" s="5">
        <f t="shared" si="7"/>
        <v>450</v>
      </c>
      <c r="J44" s="5" t="str">
        <f t="shared" si="8"/>
        <v>Poor</v>
      </c>
      <c r="K44" s="5" t="str">
        <f t="shared" si="9"/>
        <v>High Discount</v>
      </c>
    </row>
    <row r="45" spans="1:11">
      <c r="A45" s="5" t="s">
        <v>82</v>
      </c>
      <c r="B45" s="6">
        <v>2132</v>
      </c>
      <c r="C45" s="6">
        <v>2169</v>
      </c>
      <c r="D45" s="7">
        <f t="shared" si="5"/>
        <v>2132</v>
      </c>
      <c r="E45" s="5">
        <f t="shared" si="6"/>
        <v>2169</v>
      </c>
      <c r="F45" s="8">
        <v>0.02</v>
      </c>
      <c r="G45" s="5">
        <v>0</v>
      </c>
      <c r="H45" s="5">
        <v>0</v>
      </c>
      <c r="I45" s="5">
        <f t="shared" si="7"/>
        <v>37</v>
      </c>
      <c r="J45" s="5" t="str">
        <f t="shared" si="8"/>
        <v>Poor</v>
      </c>
      <c r="K45" s="5" t="str">
        <f t="shared" si="9"/>
        <v>Low Discount</v>
      </c>
    </row>
    <row r="46" spans="1:11">
      <c r="A46" s="5" t="s">
        <v>83</v>
      </c>
      <c r="B46" s="5">
        <v>999</v>
      </c>
      <c r="C46" s="6">
        <v>2000</v>
      </c>
      <c r="D46" s="7">
        <f t="shared" si="5"/>
        <v>999</v>
      </c>
      <c r="E46" s="5">
        <f t="shared" si="6"/>
        <v>2000</v>
      </c>
      <c r="F46" s="8">
        <v>0.5</v>
      </c>
      <c r="G46" s="5">
        <v>0</v>
      </c>
      <c r="H46" s="5">
        <v>0</v>
      </c>
      <c r="I46" s="5">
        <f t="shared" si="7"/>
        <v>1001</v>
      </c>
      <c r="J46" s="5" t="str">
        <f t="shared" si="8"/>
        <v>Poor</v>
      </c>
      <c r="K46" s="5" t="str">
        <f t="shared" si="9"/>
        <v>High Discount</v>
      </c>
    </row>
    <row r="47" spans="1:11">
      <c r="A47" s="5" t="s">
        <v>84</v>
      </c>
      <c r="B47" s="6">
        <v>1190</v>
      </c>
      <c r="C47" s="6">
        <v>1785</v>
      </c>
      <c r="D47" s="7">
        <f t="shared" si="5"/>
        <v>1190</v>
      </c>
      <c r="E47" s="5">
        <f t="shared" si="6"/>
        <v>1785</v>
      </c>
      <c r="F47" s="8">
        <v>0.33</v>
      </c>
      <c r="G47" s="5">
        <v>0</v>
      </c>
      <c r="H47" s="5">
        <v>0</v>
      </c>
      <c r="I47" s="5">
        <f t="shared" si="7"/>
        <v>595</v>
      </c>
      <c r="J47" s="5" t="str">
        <f t="shared" si="8"/>
        <v>Poor</v>
      </c>
      <c r="K47" s="5" t="str">
        <f t="shared" si="9"/>
        <v>Medium Discount</v>
      </c>
    </row>
    <row r="48" spans="1:11">
      <c r="A48" s="5" t="s">
        <v>85</v>
      </c>
      <c r="B48" s="5">
        <v>671</v>
      </c>
      <c r="C48" s="6">
        <v>1316</v>
      </c>
      <c r="D48" s="7">
        <f t="shared" si="5"/>
        <v>671</v>
      </c>
      <c r="E48" s="5">
        <f t="shared" si="6"/>
        <v>1316</v>
      </c>
      <c r="F48" s="8">
        <v>0.49</v>
      </c>
      <c r="G48" s="5">
        <v>0</v>
      </c>
      <c r="H48" s="5">
        <v>0</v>
      </c>
      <c r="I48" s="5">
        <f t="shared" si="7"/>
        <v>645</v>
      </c>
      <c r="J48" s="5" t="str">
        <f t="shared" si="8"/>
        <v>Poor</v>
      </c>
      <c r="K48" s="5" t="str">
        <f t="shared" si="9"/>
        <v>High Discount</v>
      </c>
    </row>
    <row r="49" spans="1:11">
      <c r="A49" s="5" t="s">
        <v>86</v>
      </c>
      <c r="B49" s="6">
        <v>1200</v>
      </c>
      <c r="C49" s="6">
        <v>1950</v>
      </c>
      <c r="D49" s="7">
        <f t="shared" si="5"/>
        <v>1200</v>
      </c>
      <c r="E49" s="5">
        <f t="shared" si="6"/>
        <v>1950</v>
      </c>
      <c r="F49" s="8">
        <v>0.38</v>
      </c>
      <c r="G49" s="5">
        <v>0</v>
      </c>
      <c r="H49" s="5">
        <v>0</v>
      </c>
      <c r="I49" s="5">
        <f t="shared" si="7"/>
        <v>750</v>
      </c>
      <c r="J49" s="5" t="str">
        <f t="shared" si="8"/>
        <v>Poor</v>
      </c>
      <c r="K49" s="5" t="str">
        <f t="shared" si="9"/>
        <v>Medium Discount</v>
      </c>
    </row>
    <row r="50" spans="1:11">
      <c r="A50" s="5" t="s">
        <v>87</v>
      </c>
      <c r="B50" s="5">
        <v>199</v>
      </c>
      <c r="C50" s="5">
        <v>504</v>
      </c>
      <c r="D50" s="7">
        <f t="shared" si="5"/>
        <v>199</v>
      </c>
      <c r="E50" s="5">
        <f t="shared" si="6"/>
        <v>504</v>
      </c>
      <c r="F50" s="8">
        <v>0.61</v>
      </c>
      <c r="G50" s="5">
        <v>0</v>
      </c>
      <c r="H50" s="5">
        <v>0</v>
      </c>
      <c r="I50" s="5">
        <f t="shared" si="7"/>
        <v>305</v>
      </c>
      <c r="J50" s="5" t="str">
        <f t="shared" si="8"/>
        <v>Poor</v>
      </c>
      <c r="K50" s="5" t="str">
        <f t="shared" si="9"/>
        <v>High Discount</v>
      </c>
    </row>
    <row r="51" spans="1:11">
      <c r="A51" s="5" t="s">
        <v>88</v>
      </c>
      <c r="B51" s="5">
        <v>299</v>
      </c>
      <c r="C51" s="5">
        <v>600</v>
      </c>
      <c r="D51" s="7">
        <f t="shared" si="5"/>
        <v>299</v>
      </c>
      <c r="E51" s="5">
        <f t="shared" si="6"/>
        <v>600</v>
      </c>
      <c r="F51" s="8">
        <v>0.5</v>
      </c>
      <c r="G51" s="5">
        <v>0</v>
      </c>
      <c r="H51" s="5">
        <v>0</v>
      </c>
      <c r="I51" s="5">
        <f t="shared" si="7"/>
        <v>301</v>
      </c>
      <c r="J51" s="5" t="str">
        <f t="shared" si="8"/>
        <v>Poor</v>
      </c>
      <c r="K51" s="5" t="str">
        <f t="shared" si="9"/>
        <v>High Discount</v>
      </c>
    </row>
    <row r="52" spans="1:11">
      <c r="A52" s="5" t="s">
        <v>89</v>
      </c>
      <c r="B52" s="6">
        <v>1660</v>
      </c>
      <c r="C52" s="6">
        <v>1699</v>
      </c>
      <c r="D52" s="7">
        <f t="shared" si="5"/>
        <v>1660</v>
      </c>
      <c r="E52" s="5">
        <f t="shared" si="6"/>
        <v>1699</v>
      </c>
      <c r="F52" s="8">
        <v>0.02</v>
      </c>
      <c r="G52" s="5">
        <v>0</v>
      </c>
      <c r="H52" s="5">
        <v>0</v>
      </c>
      <c r="I52" s="5">
        <f t="shared" si="7"/>
        <v>39</v>
      </c>
      <c r="J52" s="5" t="str">
        <f t="shared" si="8"/>
        <v>Poor</v>
      </c>
      <c r="K52" s="5" t="str">
        <f t="shared" si="9"/>
        <v>Low Discount</v>
      </c>
    </row>
    <row r="53" spans="1:11">
      <c r="A53" s="5" t="s">
        <v>90</v>
      </c>
      <c r="B53" s="5">
        <v>299</v>
      </c>
      <c r="C53" s="5">
        <v>384</v>
      </c>
      <c r="D53" s="7">
        <f t="shared" si="5"/>
        <v>299</v>
      </c>
      <c r="E53" s="5">
        <f t="shared" si="6"/>
        <v>384</v>
      </c>
      <c r="F53" s="8">
        <v>0.22</v>
      </c>
      <c r="G53" s="5">
        <v>0</v>
      </c>
      <c r="H53" s="5">
        <v>0</v>
      </c>
      <c r="I53" s="5">
        <f t="shared" si="7"/>
        <v>85</v>
      </c>
      <c r="J53" s="5" t="str">
        <f t="shared" si="8"/>
        <v>Poor</v>
      </c>
      <c r="K53" s="5" t="str">
        <f t="shared" si="9"/>
        <v>Medium Discount</v>
      </c>
    </row>
    <row r="54" spans="1:11">
      <c r="A54" s="5" t="s">
        <v>91</v>
      </c>
      <c r="B54" s="6">
        <v>1459</v>
      </c>
      <c r="C54" s="6">
        <v>1499</v>
      </c>
      <c r="D54" s="7">
        <f t="shared" si="5"/>
        <v>1459</v>
      </c>
      <c r="E54" s="5">
        <f t="shared" si="6"/>
        <v>1499</v>
      </c>
      <c r="F54" s="8">
        <v>0.03</v>
      </c>
      <c r="G54" s="5">
        <v>0</v>
      </c>
      <c r="H54" s="5">
        <v>0</v>
      </c>
      <c r="I54" s="5">
        <f t="shared" si="7"/>
        <v>40</v>
      </c>
      <c r="J54" s="5" t="str">
        <f t="shared" si="8"/>
        <v>Poor</v>
      </c>
      <c r="K54" s="5" t="str">
        <f t="shared" si="9"/>
        <v>Low Discount</v>
      </c>
    </row>
    <row r="55" spans="1:11">
      <c r="A55" s="5" t="s">
        <v>92</v>
      </c>
      <c r="B55" s="5">
        <v>799</v>
      </c>
      <c r="C55" s="6">
        <v>1343</v>
      </c>
      <c r="D55" s="7">
        <f t="shared" si="5"/>
        <v>799</v>
      </c>
      <c r="E55" s="5">
        <f t="shared" si="6"/>
        <v>1343</v>
      </c>
      <c r="F55" s="8">
        <v>0.41</v>
      </c>
      <c r="G55" s="5">
        <v>0</v>
      </c>
      <c r="H55" s="5">
        <v>0</v>
      </c>
      <c r="I55" s="5">
        <f t="shared" si="7"/>
        <v>544</v>
      </c>
      <c r="J55" s="5" t="str">
        <f t="shared" si="8"/>
        <v>Poor</v>
      </c>
      <c r="K55" s="5" t="str">
        <f t="shared" si="9"/>
        <v>High Discount</v>
      </c>
    </row>
    <row r="56" spans="1:11">
      <c r="A56" s="5" t="s">
        <v>93</v>
      </c>
      <c r="B56" s="5">
        <v>499</v>
      </c>
      <c r="C56" s="5">
        <v>900</v>
      </c>
      <c r="D56" s="7">
        <f t="shared" si="5"/>
        <v>499</v>
      </c>
      <c r="E56" s="5">
        <f t="shared" si="6"/>
        <v>900</v>
      </c>
      <c r="F56" s="8">
        <v>0.45</v>
      </c>
      <c r="G56" s="5">
        <v>0</v>
      </c>
      <c r="H56" s="5">
        <v>0</v>
      </c>
      <c r="I56" s="5">
        <f t="shared" si="7"/>
        <v>401</v>
      </c>
      <c r="J56" s="5" t="str">
        <f t="shared" si="8"/>
        <v>Poor</v>
      </c>
      <c r="K56" s="5" t="str">
        <f t="shared" si="9"/>
        <v>High Discount</v>
      </c>
    </row>
    <row r="57" spans="1:11">
      <c r="A57" s="5" t="s">
        <v>94</v>
      </c>
      <c r="B57" s="5">
        <v>699</v>
      </c>
      <c r="C57" s="6">
        <v>1343</v>
      </c>
      <c r="D57" s="7">
        <f t="shared" si="5"/>
        <v>699</v>
      </c>
      <c r="E57" s="5">
        <f t="shared" si="6"/>
        <v>1343</v>
      </c>
      <c r="F57" s="8">
        <v>0.48</v>
      </c>
      <c r="G57" s="5">
        <v>0</v>
      </c>
      <c r="H57" s="5">
        <v>0</v>
      </c>
      <c r="I57" s="5">
        <f t="shared" si="7"/>
        <v>644</v>
      </c>
      <c r="J57" s="5" t="str">
        <f t="shared" si="8"/>
        <v>Poor</v>
      </c>
      <c r="K57" s="5" t="str">
        <f t="shared" si="9"/>
        <v>High Discount</v>
      </c>
    </row>
    <row r="58" spans="1:11">
      <c r="A58" s="5" t="s">
        <v>95</v>
      </c>
      <c r="B58" s="5">
        <v>799</v>
      </c>
      <c r="C58" s="6">
        <v>1567</v>
      </c>
      <c r="D58" s="7">
        <f t="shared" si="5"/>
        <v>799</v>
      </c>
      <c r="E58" s="5">
        <f t="shared" si="6"/>
        <v>1567</v>
      </c>
      <c r="F58" s="8">
        <v>0.49</v>
      </c>
      <c r="G58" s="5">
        <v>0</v>
      </c>
      <c r="H58" s="5">
        <v>0</v>
      </c>
      <c r="I58" s="5">
        <f t="shared" si="7"/>
        <v>768</v>
      </c>
      <c r="J58" s="5" t="str">
        <f t="shared" si="8"/>
        <v>Poor</v>
      </c>
      <c r="K58" s="5" t="str">
        <f t="shared" si="9"/>
        <v>High Discount</v>
      </c>
    </row>
    <row r="59" spans="1:11">
      <c r="A59" s="5" t="s">
        <v>96</v>
      </c>
      <c r="B59" s="6">
        <v>2799</v>
      </c>
      <c r="C59" s="6">
        <v>3810</v>
      </c>
      <c r="D59" s="7">
        <f t="shared" si="5"/>
        <v>2799</v>
      </c>
      <c r="E59" s="5">
        <f t="shared" si="6"/>
        <v>3810</v>
      </c>
      <c r="F59" s="8">
        <v>0.27</v>
      </c>
      <c r="G59" s="5">
        <v>0</v>
      </c>
      <c r="H59" s="5">
        <v>0</v>
      </c>
      <c r="I59" s="5">
        <f t="shared" si="7"/>
        <v>1011</v>
      </c>
      <c r="J59" s="5" t="str">
        <f t="shared" si="8"/>
        <v>Poor</v>
      </c>
      <c r="K59" s="5" t="str">
        <f t="shared" si="9"/>
        <v>Medium Discount</v>
      </c>
    </row>
    <row r="60" spans="1:11">
      <c r="A60" s="5" t="s">
        <v>97</v>
      </c>
      <c r="B60" s="6">
        <v>2170</v>
      </c>
      <c r="C60" s="6">
        <v>2500</v>
      </c>
      <c r="D60" s="7">
        <f t="shared" si="5"/>
        <v>2170</v>
      </c>
      <c r="E60" s="5">
        <f t="shared" si="6"/>
        <v>2500</v>
      </c>
      <c r="F60" s="8">
        <v>0.13</v>
      </c>
      <c r="G60" s="5">
        <v>6</v>
      </c>
      <c r="H60" s="5">
        <v>2.5</v>
      </c>
      <c r="I60" s="5">
        <f t="shared" si="7"/>
        <v>330</v>
      </c>
      <c r="J60" s="5" t="str">
        <f t="shared" si="8"/>
        <v>Poor</v>
      </c>
      <c r="K60" s="5" t="str">
        <f t="shared" si="9"/>
        <v>Low Discount</v>
      </c>
    </row>
    <row r="61" spans="1:11">
      <c r="A61" s="5" t="s">
        <v>98</v>
      </c>
      <c r="B61" s="5">
        <v>458</v>
      </c>
      <c r="C61" s="5">
        <v>986</v>
      </c>
      <c r="D61" s="7">
        <f t="shared" si="5"/>
        <v>458</v>
      </c>
      <c r="E61" s="5">
        <f t="shared" si="6"/>
        <v>986</v>
      </c>
      <c r="F61" s="8">
        <v>0.54</v>
      </c>
      <c r="G61" s="5">
        <v>10</v>
      </c>
      <c r="H61" s="5">
        <v>3</v>
      </c>
      <c r="I61" s="5">
        <f t="shared" si="7"/>
        <v>528</v>
      </c>
      <c r="J61" s="5" t="str">
        <f t="shared" si="8"/>
        <v>Average</v>
      </c>
      <c r="K61" s="5" t="str">
        <f t="shared" si="9"/>
        <v>High Discount</v>
      </c>
    </row>
    <row r="62" spans="1:11">
      <c r="A62" s="5" t="s">
        <v>99</v>
      </c>
      <c r="B62" s="6">
        <v>2115</v>
      </c>
      <c r="C62" s="6">
        <v>4700</v>
      </c>
      <c r="D62" s="7">
        <f t="shared" si="5"/>
        <v>2115</v>
      </c>
      <c r="E62" s="5">
        <f t="shared" si="6"/>
        <v>4700</v>
      </c>
      <c r="F62" s="8">
        <v>0.55</v>
      </c>
      <c r="G62" s="5">
        <v>13</v>
      </c>
      <c r="H62" s="5">
        <v>2.1</v>
      </c>
      <c r="I62" s="5">
        <f t="shared" si="7"/>
        <v>2585</v>
      </c>
      <c r="J62" s="5" t="str">
        <f t="shared" si="8"/>
        <v>Poor</v>
      </c>
      <c r="K62" s="5" t="str">
        <f t="shared" si="9"/>
        <v>High Discount</v>
      </c>
    </row>
    <row r="63" spans="1:11">
      <c r="A63" s="5" t="s">
        <v>100</v>
      </c>
      <c r="B63" s="5">
        <v>445</v>
      </c>
      <c r="C63" s="5">
        <v>873</v>
      </c>
      <c r="D63" s="7">
        <f t="shared" si="5"/>
        <v>445</v>
      </c>
      <c r="E63" s="5">
        <f t="shared" si="6"/>
        <v>873</v>
      </c>
      <c r="F63" s="8">
        <v>0.49</v>
      </c>
      <c r="G63" s="5">
        <v>69</v>
      </c>
      <c r="H63" s="5">
        <v>2.8</v>
      </c>
      <c r="I63" s="5">
        <f t="shared" si="7"/>
        <v>428</v>
      </c>
      <c r="J63" s="5" t="str">
        <f t="shared" si="8"/>
        <v>Poor</v>
      </c>
      <c r="K63" s="5" t="str">
        <f t="shared" si="9"/>
        <v>High Discount</v>
      </c>
    </row>
    <row r="64" spans="1:11">
      <c r="A64" s="5" t="s">
        <v>101</v>
      </c>
      <c r="B64" s="5">
        <v>325</v>
      </c>
      <c r="C64" s="5">
        <v>680</v>
      </c>
      <c r="D64" s="7">
        <f t="shared" si="5"/>
        <v>325</v>
      </c>
      <c r="E64" s="5">
        <f t="shared" si="6"/>
        <v>680</v>
      </c>
      <c r="F64" s="8">
        <v>0.52</v>
      </c>
      <c r="G64" s="5">
        <v>15</v>
      </c>
      <c r="H64" s="5">
        <v>2.7</v>
      </c>
      <c r="I64" s="5">
        <f t="shared" si="7"/>
        <v>355</v>
      </c>
      <c r="J64" s="5" t="str">
        <f t="shared" si="8"/>
        <v>Poor</v>
      </c>
      <c r="K64" s="5" t="str">
        <f t="shared" si="9"/>
        <v>High Discount</v>
      </c>
    </row>
    <row r="65" spans="1:11">
      <c r="A65" s="5" t="s">
        <v>102</v>
      </c>
      <c r="B65" s="6">
        <v>1220</v>
      </c>
      <c r="C65" s="6">
        <v>1555</v>
      </c>
      <c r="D65" s="7">
        <f t="shared" si="5"/>
        <v>1220</v>
      </c>
      <c r="E65" s="5">
        <f t="shared" si="6"/>
        <v>1555</v>
      </c>
      <c r="F65" s="8">
        <v>0.22</v>
      </c>
      <c r="G65" s="5">
        <v>16</v>
      </c>
      <c r="H65" s="5">
        <v>2.9</v>
      </c>
      <c r="I65" s="5">
        <f t="shared" si="7"/>
        <v>335</v>
      </c>
      <c r="J65" s="5" t="str">
        <f t="shared" si="8"/>
        <v>Poor</v>
      </c>
      <c r="K65" s="5" t="str">
        <f t="shared" si="9"/>
        <v>Medium Discount</v>
      </c>
    </row>
    <row r="66" spans="1:11">
      <c r="A66" s="5" t="s">
        <v>103</v>
      </c>
      <c r="B66" s="5">
        <v>990</v>
      </c>
      <c r="C66" s="6">
        <v>1814</v>
      </c>
      <c r="D66" s="7">
        <f t="shared" si="5"/>
        <v>990</v>
      </c>
      <c r="E66" s="5">
        <f t="shared" si="6"/>
        <v>1814</v>
      </c>
      <c r="F66" s="8">
        <v>0.45</v>
      </c>
      <c r="G66" s="5">
        <v>6</v>
      </c>
      <c r="H66" s="5">
        <v>2.2</v>
      </c>
      <c r="I66" s="5">
        <f t="shared" si="7"/>
        <v>824</v>
      </c>
      <c r="J66" s="5" t="str">
        <f t="shared" si="8"/>
        <v>Poor</v>
      </c>
      <c r="K66" s="5" t="str">
        <f t="shared" si="9"/>
        <v>High Discount</v>
      </c>
    </row>
    <row r="67" spans="1:11">
      <c r="A67" s="5" t="s">
        <v>104</v>
      </c>
      <c r="B67" s="6">
        <v>1000</v>
      </c>
      <c r="C67" s="6">
        <v>2000</v>
      </c>
      <c r="D67" s="7">
        <f t="shared" ref="D67:D110" si="10">IF(ISNUMBER(FIND("-",B67)),VALUE(TRIM(LEFT(B67,FIND("-",B67)-1))),VALUE(B67))</f>
        <v>1000</v>
      </c>
      <c r="E67" s="5">
        <f t="shared" ref="E67:E110" si="11">IF(ISNUMBER(FIND("-",C67)),VALUE(TRIM(LEFT(C67,FIND("-",C67)-1))),VALUE(C67))</f>
        <v>2000</v>
      </c>
      <c r="F67" s="8">
        <v>0.5</v>
      </c>
      <c r="G67" s="5">
        <v>7</v>
      </c>
      <c r="H67" s="5">
        <v>2.3</v>
      </c>
      <c r="I67" s="5">
        <f t="shared" ref="I67:I110" si="12">E67-D67</f>
        <v>1000</v>
      </c>
      <c r="J67" s="5" t="str">
        <f t="shared" ref="J67:J110" si="13">IF(H67&lt;3,"Poor",IF(H67&lt;=4.4,"Average","Excellent"))</f>
        <v>Poor</v>
      </c>
      <c r="K67" s="5" t="str">
        <f t="shared" ref="K67:K110" si="14">IF(F67&lt;0.2,"Low Discount",IF(AND(F67&gt;=0.2,F67&lt;=0.4),"Medium Discount","High Discount"))</f>
        <v>High Discount</v>
      </c>
    </row>
    <row r="68" spans="1:11">
      <c r="A68" s="5" t="s">
        <v>105</v>
      </c>
      <c r="B68" s="6">
        <v>3750</v>
      </c>
      <c r="C68" s="6">
        <v>6143</v>
      </c>
      <c r="D68" s="7">
        <f t="shared" si="10"/>
        <v>3750</v>
      </c>
      <c r="E68" s="5">
        <f t="shared" si="11"/>
        <v>6143</v>
      </c>
      <c r="F68" s="8">
        <v>0.39</v>
      </c>
      <c r="G68" s="5">
        <v>5</v>
      </c>
      <c r="H68" s="5">
        <v>3</v>
      </c>
      <c r="I68" s="5">
        <f t="shared" si="12"/>
        <v>2393</v>
      </c>
      <c r="J68" s="5" t="str">
        <f t="shared" si="13"/>
        <v>Average</v>
      </c>
      <c r="K68" s="5" t="str">
        <f t="shared" si="14"/>
        <v>Medium Discount</v>
      </c>
    </row>
    <row r="69" spans="1:11">
      <c r="A69" s="5" t="s">
        <v>106</v>
      </c>
      <c r="B69" s="5">
        <v>382</v>
      </c>
      <c r="C69" s="5">
        <v>700</v>
      </c>
      <c r="D69" s="7">
        <f t="shared" si="10"/>
        <v>382</v>
      </c>
      <c r="E69" s="5">
        <f t="shared" si="11"/>
        <v>700</v>
      </c>
      <c r="F69" s="8">
        <v>0.45</v>
      </c>
      <c r="G69" s="5">
        <v>17</v>
      </c>
      <c r="H69" s="5">
        <v>2.6</v>
      </c>
      <c r="I69" s="5">
        <f t="shared" si="12"/>
        <v>318</v>
      </c>
      <c r="J69" s="5" t="str">
        <f t="shared" si="13"/>
        <v>Poor</v>
      </c>
      <c r="K69" s="5" t="str">
        <f t="shared" si="14"/>
        <v>High Discount</v>
      </c>
    </row>
    <row r="70" spans="1:11">
      <c r="A70" s="5" t="s">
        <v>107</v>
      </c>
      <c r="B70" s="6">
        <v>2300</v>
      </c>
      <c r="C70" s="6">
        <v>3240</v>
      </c>
      <c r="D70" s="7">
        <f t="shared" si="10"/>
        <v>2300</v>
      </c>
      <c r="E70" s="5">
        <f t="shared" si="11"/>
        <v>3240</v>
      </c>
      <c r="F70" s="8">
        <v>0.29</v>
      </c>
      <c r="G70" s="5">
        <v>5</v>
      </c>
      <c r="H70" s="5">
        <v>3</v>
      </c>
      <c r="I70" s="5">
        <f t="shared" si="12"/>
        <v>940</v>
      </c>
      <c r="J70" s="5" t="str">
        <f t="shared" si="13"/>
        <v>Average</v>
      </c>
      <c r="K70" s="5" t="str">
        <f t="shared" si="14"/>
        <v>Medium Discount</v>
      </c>
    </row>
    <row r="71" spans="1:11">
      <c r="A71" s="5" t="s">
        <v>108</v>
      </c>
      <c r="B71" s="5">
        <v>345</v>
      </c>
      <c r="C71" s="5">
        <v>602</v>
      </c>
      <c r="D71" s="7">
        <f t="shared" si="10"/>
        <v>345</v>
      </c>
      <c r="E71" s="5">
        <f t="shared" si="11"/>
        <v>602</v>
      </c>
      <c r="F71" s="8">
        <v>0.43</v>
      </c>
      <c r="G71" s="5">
        <v>6</v>
      </c>
      <c r="H71" s="5">
        <v>2.3</v>
      </c>
      <c r="I71" s="5">
        <f t="shared" si="12"/>
        <v>257</v>
      </c>
      <c r="J71" s="5" t="str">
        <f t="shared" si="13"/>
        <v>Poor</v>
      </c>
      <c r="K71" s="5" t="str">
        <f t="shared" si="14"/>
        <v>High Discount</v>
      </c>
    </row>
    <row r="72" spans="1:11">
      <c r="A72" s="5" t="s">
        <v>109</v>
      </c>
      <c r="B72" s="5">
        <v>509</v>
      </c>
      <c r="C72" s="5">
        <v>899</v>
      </c>
      <c r="D72" s="7">
        <f t="shared" si="10"/>
        <v>509</v>
      </c>
      <c r="E72" s="5">
        <f t="shared" si="11"/>
        <v>899</v>
      </c>
      <c r="F72" s="8">
        <v>0.43</v>
      </c>
      <c r="G72" s="5">
        <v>5</v>
      </c>
      <c r="H72" s="5">
        <v>3</v>
      </c>
      <c r="I72" s="5">
        <f t="shared" si="12"/>
        <v>390</v>
      </c>
      <c r="J72" s="5" t="str">
        <f t="shared" si="13"/>
        <v>Average</v>
      </c>
      <c r="K72" s="5" t="str">
        <f t="shared" si="14"/>
        <v>High Discount</v>
      </c>
    </row>
    <row r="73" spans="1:11">
      <c r="A73" s="5" t="s">
        <v>110</v>
      </c>
      <c r="B73" s="5">
        <v>968</v>
      </c>
      <c r="C73" s="6">
        <v>1814</v>
      </c>
      <c r="D73" s="7">
        <f t="shared" si="10"/>
        <v>968</v>
      </c>
      <c r="E73" s="5">
        <f t="shared" si="11"/>
        <v>1814</v>
      </c>
      <c r="F73" s="8">
        <v>0.47</v>
      </c>
      <c r="G73" s="5">
        <v>6</v>
      </c>
      <c r="H73" s="5">
        <v>2.2</v>
      </c>
      <c r="I73" s="5">
        <f t="shared" si="12"/>
        <v>846</v>
      </c>
      <c r="J73" s="5" t="str">
        <f t="shared" si="13"/>
        <v>Poor</v>
      </c>
      <c r="K73" s="5" t="str">
        <f t="shared" si="14"/>
        <v>High Discount</v>
      </c>
    </row>
    <row r="74" spans="1:11">
      <c r="A74" s="5" t="s">
        <v>111</v>
      </c>
      <c r="B74" s="6">
        <v>1570</v>
      </c>
      <c r="C74" s="6">
        <v>2988</v>
      </c>
      <c r="D74" s="7">
        <f t="shared" si="10"/>
        <v>1570</v>
      </c>
      <c r="E74" s="5">
        <f t="shared" si="11"/>
        <v>2988</v>
      </c>
      <c r="F74" s="8">
        <v>0.47</v>
      </c>
      <c r="G74" s="5">
        <v>7</v>
      </c>
      <c r="H74" s="5">
        <v>2.1</v>
      </c>
      <c r="I74" s="5">
        <f t="shared" si="12"/>
        <v>1418</v>
      </c>
      <c r="J74" s="5" t="str">
        <f t="shared" si="13"/>
        <v>Poor</v>
      </c>
      <c r="K74" s="5" t="str">
        <f t="shared" si="14"/>
        <v>High Discount</v>
      </c>
    </row>
    <row r="75" spans="1:11">
      <c r="A75" s="5" t="s">
        <v>112</v>
      </c>
      <c r="B75" s="5">
        <v>790</v>
      </c>
      <c r="C75" s="6">
        <v>1485</v>
      </c>
      <c r="D75" s="7">
        <f t="shared" si="10"/>
        <v>790</v>
      </c>
      <c r="E75" s="5">
        <f t="shared" si="11"/>
        <v>1485</v>
      </c>
      <c r="F75" s="8">
        <v>0.47</v>
      </c>
      <c r="G75" s="5">
        <v>0</v>
      </c>
      <c r="H75" s="5">
        <v>0</v>
      </c>
      <c r="I75" s="5">
        <f t="shared" si="12"/>
        <v>695</v>
      </c>
      <c r="J75" s="5" t="str">
        <f t="shared" si="13"/>
        <v>Poor</v>
      </c>
      <c r="K75" s="5" t="str">
        <f t="shared" si="14"/>
        <v>High Discount</v>
      </c>
    </row>
    <row r="76" spans="1:11">
      <c r="A76" s="5" t="s">
        <v>113</v>
      </c>
      <c r="B76" s="5">
        <v>690</v>
      </c>
      <c r="C76" s="6">
        <v>1200</v>
      </c>
      <c r="D76" s="7">
        <f t="shared" si="10"/>
        <v>690</v>
      </c>
      <c r="E76" s="5">
        <f t="shared" si="11"/>
        <v>1200</v>
      </c>
      <c r="F76" s="8">
        <v>0.43</v>
      </c>
      <c r="G76" s="5">
        <v>0</v>
      </c>
      <c r="H76" s="5">
        <v>0</v>
      </c>
      <c r="I76" s="5">
        <f t="shared" si="12"/>
        <v>510</v>
      </c>
      <c r="J76" s="5" t="str">
        <f t="shared" si="13"/>
        <v>Poor</v>
      </c>
      <c r="K76" s="5" t="str">
        <f t="shared" si="14"/>
        <v>High Discount</v>
      </c>
    </row>
    <row r="77" spans="1:11">
      <c r="A77" s="5" t="s">
        <v>114</v>
      </c>
      <c r="B77" s="6">
        <v>1732</v>
      </c>
      <c r="C77" s="6">
        <v>1799</v>
      </c>
      <c r="D77" s="7">
        <f t="shared" si="10"/>
        <v>1732</v>
      </c>
      <c r="E77" s="5">
        <f t="shared" si="11"/>
        <v>1799</v>
      </c>
      <c r="F77" s="8">
        <v>0.04</v>
      </c>
      <c r="G77" s="5">
        <v>0</v>
      </c>
      <c r="H77" s="5">
        <v>0</v>
      </c>
      <c r="I77" s="5">
        <f t="shared" si="12"/>
        <v>67</v>
      </c>
      <c r="J77" s="5" t="str">
        <f t="shared" si="13"/>
        <v>Poor</v>
      </c>
      <c r="K77" s="5" t="str">
        <f t="shared" si="14"/>
        <v>Low Discount</v>
      </c>
    </row>
    <row r="78" spans="1:11">
      <c r="A78" s="5" t="s">
        <v>115</v>
      </c>
      <c r="B78" s="5">
        <v>230</v>
      </c>
      <c r="C78" s="5">
        <v>450</v>
      </c>
      <c r="D78" s="7">
        <f t="shared" si="10"/>
        <v>230</v>
      </c>
      <c r="E78" s="5">
        <f t="shared" si="11"/>
        <v>450</v>
      </c>
      <c r="F78" s="8">
        <v>0.49</v>
      </c>
      <c r="G78" s="5">
        <v>0</v>
      </c>
      <c r="H78" s="5">
        <v>0</v>
      </c>
      <c r="I78" s="5">
        <f t="shared" si="12"/>
        <v>220</v>
      </c>
      <c r="J78" s="5" t="str">
        <f t="shared" si="13"/>
        <v>Poor</v>
      </c>
      <c r="K78" s="5" t="str">
        <f t="shared" si="14"/>
        <v>High Discount</v>
      </c>
    </row>
    <row r="79" spans="1:11">
      <c r="A79" s="5" t="s">
        <v>116</v>
      </c>
      <c r="B79" s="6">
        <v>1189</v>
      </c>
      <c r="C79" s="6">
        <v>2199</v>
      </c>
      <c r="D79" s="7">
        <f t="shared" si="10"/>
        <v>1189</v>
      </c>
      <c r="E79" s="5">
        <f t="shared" si="11"/>
        <v>2199</v>
      </c>
      <c r="F79" s="8">
        <v>0.46</v>
      </c>
      <c r="G79" s="5">
        <v>1</v>
      </c>
      <c r="H79" s="5">
        <v>3</v>
      </c>
      <c r="I79" s="5">
        <f t="shared" si="12"/>
        <v>1010</v>
      </c>
      <c r="J79" s="5" t="str">
        <f t="shared" si="13"/>
        <v>Average</v>
      </c>
      <c r="K79" s="5" t="str">
        <f t="shared" si="14"/>
        <v>High Discount</v>
      </c>
    </row>
    <row r="80" spans="1:11">
      <c r="A80" s="5" t="s">
        <v>117</v>
      </c>
      <c r="B80" s="5">
        <v>979</v>
      </c>
      <c r="C80" s="6">
        <v>1920</v>
      </c>
      <c r="D80" s="7">
        <f t="shared" si="10"/>
        <v>979</v>
      </c>
      <c r="E80" s="5">
        <f t="shared" si="11"/>
        <v>1920</v>
      </c>
      <c r="F80" s="8">
        <v>0.49</v>
      </c>
      <c r="G80" s="5">
        <v>1</v>
      </c>
      <c r="H80" s="5">
        <v>5</v>
      </c>
      <c r="I80" s="5">
        <f t="shared" si="12"/>
        <v>941</v>
      </c>
      <c r="J80" s="5" t="str">
        <f t="shared" si="13"/>
        <v>Excellent</v>
      </c>
      <c r="K80" s="5" t="str">
        <f t="shared" si="14"/>
        <v>High Discount</v>
      </c>
    </row>
    <row r="81" spans="1:11">
      <c r="A81" s="5" t="s">
        <v>118</v>
      </c>
      <c r="B81" s="6">
        <v>1460</v>
      </c>
      <c r="C81" s="6">
        <v>2290</v>
      </c>
      <c r="D81" s="7">
        <f t="shared" si="10"/>
        <v>1460</v>
      </c>
      <c r="E81" s="5">
        <f t="shared" si="11"/>
        <v>2290</v>
      </c>
      <c r="F81" s="8">
        <v>0.36</v>
      </c>
      <c r="G81" s="5">
        <v>0</v>
      </c>
      <c r="H81" s="5">
        <v>0</v>
      </c>
      <c r="I81" s="5">
        <f t="shared" si="12"/>
        <v>830</v>
      </c>
      <c r="J81" s="5" t="str">
        <f t="shared" si="13"/>
        <v>Poor</v>
      </c>
      <c r="K81" s="5" t="str">
        <f t="shared" si="14"/>
        <v>Medium Discount</v>
      </c>
    </row>
    <row r="82" spans="1:11">
      <c r="A82" s="5" t="s">
        <v>119</v>
      </c>
      <c r="B82" s="6">
        <v>1666</v>
      </c>
      <c r="C82" s="6">
        <v>1699</v>
      </c>
      <c r="D82" s="7">
        <f t="shared" si="10"/>
        <v>1666</v>
      </c>
      <c r="E82" s="5">
        <f t="shared" si="11"/>
        <v>1699</v>
      </c>
      <c r="F82" s="8">
        <v>0.02</v>
      </c>
      <c r="G82" s="5">
        <v>0</v>
      </c>
      <c r="H82" s="5">
        <v>0</v>
      </c>
      <c r="I82" s="5">
        <f t="shared" si="12"/>
        <v>33</v>
      </c>
      <c r="J82" s="5" t="str">
        <f t="shared" si="13"/>
        <v>Poor</v>
      </c>
      <c r="K82" s="5" t="str">
        <f t="shared" si="14"/>
        <v>Low Discount</v>
      </c>
    </row>
    <row r="83" spans="1:11">
      <c r="A83" s="5" t="s">
        <v>120</v>
      </c>
      <c r="B83" s="5">
        <v>330</v>
      </c>
      <c r="C83" s="5">
        <v>647</v>
      </c>
      <c r="D83" s="7">
        <f t="shared" si="10"/>
        <v>330</v>
      </c>
      <c r="E83" s="5">
        <f t="shared" si="11"/>
        <v>647</v>
      </c>
      <c r="F83" s="8">
        <v>0.49</v>
      </c>
      <c r="G83" s="5">
        <v>1</v>
      </c>
      <c r="H83" s="5">
        <v>4</v>
      </c>
      <c r="I83" s="5">
        <f t="shared" si="12"/>
        <v>317</v>
      </c>
      <c r="J83" s="5" t="str">
        <f t="shared" si="13"/>
        <v>Average</v>
      </c>
      <c r="K83" s="5" t="str">
        <f t="shared" si="14"/>
        <v>High Discount</v>
      </c>
    </row>
    <row r="84" spans="1:11">
      <c r="A84" s="5" t="s">
        <v>121</v>
      </c>
      <c r="B84" s="6">
        <v>1466</v>
      </c>
      <c r="C84" s="6">
        <v>1699</v>
      </c>
      <c r="D84" s="7">
        <f t="shared" si="10"/>
        <v>1466</v>
      </c>
      <c r="E84" s="5">
        <f t="shared" si="11"/>
        <v>1699</v>
      </c>
      <c r="F84" s="8">
        <v>0.14</v>
      </c>
      <c r="G84" s="5">
        <v>0</v>
      </c>
      <c r="H84" s="5">
        <v>0</v>
      </c>
      <c r="I84" s="5">
        <f t="shared" si="12"/>
        <v>233</v>
      </c>
      <c r="J84" s="5" t="str">
        <f t="shared" si="13"/>
        <v>Poor</v>
      </c>
      <c r="K84" s="5" t="str">
        <f t="shared" si="14"/>
        <v>Low Discount</v>
      </c>
    </row>
    <row r="85" spans="1:11">
      <c r="A85" s="5" t="s">
        <v>122</v>
      </c>
      <c r="B85" s="5">
        <v>274</v>
      </c>
      <c r="C85" s="5">
        <v>537</v>
      </c>
      <c r="D85" s="7">
        <f t="shared" si="10"/>
        <v>274</v>
      </c>
      <c r="E85" s="5">
        <f t="shared" si="11"/>
        <v>537</v>
      </c>
      <c r="F85" s="8">
        <v>0.49</v>
      </c>
      <c r="G85" s="5">
        <v>0</v>
      </c>
      <c r="H85" s="5">
        <v>0</v>
      </c>
      <c r="I85" s="5">
        <f t="shared" si="12"/>
        <v>263</v>
      </c>
      <c r="J85" s="5" t="str">
        <f t="shared" si="13"/>
        <v>Poor</v>
      </c>
      <c r="K85" s="5" t="str">
        <f t="shared" si="14"/>
        <v>High Discount</v>
      </c>
    </row>
    <row r="86" spans="1:11">
      <c r="A86" s="5" t="s">
        <v>123</v>
      </c>
      <c r="B86" s="5">
        <v>799</v>
      </c>
      <c r="C86" s="5">
        <v>900</v>
      </c>
      <c r="D86" s="7">
        <f t="shared" si="10"/>
        <v>799</v>
      </c>
      <c r="E86" s="5">
        <f t="shared" si="11"/>
        <v>900</v>
      </c>
      <c r="F86" s="8">
        <v>0.11</v>
      </c>
      <c r="G86" s="5">
        <v>0</v>
      </c>
      <c r="H86" s="5">
        <v>0</v>
      </c>
      <c r="I86" s="5">
        <f t="shared" si="12"/>
        <v>101</v>
      </c>
      <c r="J86" s="5" t="str">
        <f t="shared" si="13"/>
        <v>Poor</v>
      </c>
      <c r="K86" s="5" t="str">
        <f t="shared" si="14"/>
        <v>Low Discount</v>
      </c>
    </row>
    <row r="87" spans="1:11">
      <c r="A87" s="5" t="s">
        <v>124</v>
      </c>
      <c r="B87" s="6">
        <v>1468</v>
      </c>
      <c r="C87" s="6">
        <v>1699</v>
      </c>
      <c r="D87" s="7">
        <f t="shared" si="10"/>
        <v>1468</v>
      </c>
      <c r="E87" s="5">
        <f t="shared" si="11"/>
        <v>1699</v>
      </c>
      <c r="F87" s="8">
        <v>0.14</v>
      </c>
      <c r="G87" s="5">
        <v>0</v>
      </c>
      <c r="H87" s="5">
        <v>0</v>
      </c>
      <c r="I87" s="5">
        <f t="shared" si="12"/>
        <v>231</v>
      </c>
      <c r="J87" s="5" t="str">
        <f t="shared" si="13"/>
        <v>Poor</v>
      </c>
      <c r="K87" s="5" t="str">
        <f t="shared" si="14"/>
        <v>Low Discount</v>
      </c>
    </row>
    <row r="88" spans="1:11">
      <c r="A88" s="5" t="s">
        <v>125</v>
      </c>
      <c r="B88" s="5">
        <v>630</v>
      </c>
      <c r="C88" s="6">
        <v>1100</v>
      </c>
      <c r="D88" s="7">
        <f t="shared" si="10"/>
        <v>630</v>
      </c>
      <c r="E88" s="5">
        <f t="shared" si="11"/>
        <v>1100</v>
      </c>
      <c r="F88" s="8">
        <v>0.43</v>
      </c>
      <c r="G88" s="5">
        <v>0</v>
      </c>
      <c r="H88" s="5">
        <v>0</v>
      </c>
      <c r="I88" s="5">
        <f t="shared" si="12"/>
        <v>470</v>
      </c>
      <c r="J88" s="5" t="str">
        <f t="shared" si="13"/>
        <v>Poor</v>
      </c>
      <c r="K88" s="5" t="str">
        <f t="shared" si="14"/>
        <v>High Discount</v>
      </c>
    </row>
    <row r="89" spans="1:11">
      <c r="A89" s="5" t="s">
        <v>126</v>
      </c>
      <c r="B89" s="5">
        <v>850</v>
      </c>
      <c r="C89" s="6">
        <v>1700</v>
      </c>
      <c r="D89" s="7">
        <f t="shared" si="10"/>
        <v>850</v>
      </c>
      <c r="E89" s="5">
        <f t="shared" si="11"/>
        <v>1700</v>
      </c>
      <c r="F89" s="8">
        <v>0.5</v>
      </c>
      <c r="G89" s="5">
        <v>0</v>
      </c>
      <c r="H89" s="5">
        <v>0</v>
      </c>
      <c r="I89" s="5">
        <f t="shared" si="12"/>
        <v>850</v>
      </c>
      <c r="J89" s="5" t="str">
        <f t="shared" si="13"/>
        <v>Poor</v>
      </c>
      <c r="K89" s="5" t="str">
        <f t="shared" si="14"/>
        <v>High Discount</v>
      </c>
    </row>
    <row r="90" spans="1:11">
      <c r="A90" s="5" t="s">
        <v>127</v>
      </c>
      <c r="B90" s="6">
        <v>1300</v>
      </c>
      <c r="C90" s="6">
        <v>2500</v>
      </c>
      <c r="D90" s="7">
        <f t="shared" si="10"/>
        <v>1300</v>
      </c>
      <c r="E90" s="5">
        <f t="shared" si="11"/>
        <v>2500</v>
      </c>
      <c r="F90" s="8">
        <v>0.48</v>
      </c>
      <c r="G90" s="5">
        <v>0</v>
      </c>
      <c r="H90" s="5">
        <v>0</v>
      </c>
      <c r="I90" s="5">
        <f t="shared" si="12"/>
        <v>1200</v>
      </c>
      <c r="J90" s="5" t="str">
        <f t="shared" si="13"/>
        <v>Poor</v>
      </c>
      <c r="K90" s="5" t="str">
        <f t="shared" si="14"/>
        <v>High Discount</v>
      </c>
    </row>
    <row r="91" spans="1:11">
      <c r="A91" s="5" t="s">
        <v>128</v>
      </c>
      <c r="B91" s="5">
        <v>105</v>
      </c>
      <c r="C91" s="5">
        <v>200</v>
      </c>
      <c r="D91" s="7">
        <f t="shared" si="10"/>
        <v>105</v>
      </c>
      <c r="E91" s="5">
        <f t="shared" si="11"/>
        <v>200</v>
      </c>
      <c r="F91" s="8">
        <v>0.48</v>
      </c>
      <c r="G91" s="5">
        <v>0</v>
      </c>
      <c r="H91" s="5">
        <v>0</v>
      </c>
      <c r="I91" s="5">
        <f t="shared" si="12"/>
        <v>95</v>
      </c>
      <c r="J91" s="5" t="str">
        <f t="shared" si="13"/>
        <v>Poor</v>
      </c>
      <c r="K91" s="5" t="str">
        <f t="shared" si="14"/>
        <v>High Discount</v>
      </c>
    </row>
    <row r="92" spans="1:11">
      <c r="A92" s="5" t="s">
        <v>129</v>
      </c>
      <c r="B92" s="5">
        <v>899</v>
      </c>
      <c r="C92" s="6">
        <v>1699</v>
      </c>
      <c r="D92" s="7">
        <f t="shared" si="10"/>
        <v>899</v>
      </c>
      <c r="E92" s="5">
        <f t="shared" si="11"/>
        <v>1699</v>
      </c>
      <c r="F92" s="8">
        <v>0.47</v>
      </c>
      <c r="G92" s="5">
        <v>0</v>
      </c>
      <c r="H92" s="5">
        <v>0</v>
      </c>
      <c r="I92" s="5">
        <f t="shared" si="12"/>
        <v>800</v>
      </c>
      <c r="J92" s="5" t="str">
        <f t="shared" si="13"/>
        <v>Poor</v>
      </c>
      <c r="K92" s="5" t="str">
        <f t="shared" si="14"/>
        <v>High Discount</v>
      </c>
    </row>
    <row r="93" spans="1:11">
      <c r="A93" s="5" t="s">
        <v>130</v>
      </c>
      <c r="B93" s="6">
        <v>1200</v>
      </c>
      <c r="C93" s="6">
        <v>2400</v>
      </c>
      <c r="D93" s="7">
        <f t="shared" si="10"/>
        <v>1200</v>
      </c>
      <c r="E93" s="5">
        <f t="shared" si="11"/>
        <v>2400</v>
      </c>
      <c r="F93" s="8">
        <v>0.5</v>
      </c>
      <c r="G93" s="5">
        <v>0</v>
      </c>
      <c r="H93" s="5">
        <v>0</v>
      </c>
      <c r="I93" s="5">
        <f t="shared" si="12"/>
        <v>1200</v>
      </c>
      <c r="J93" s="5" t="str">
        <f t="shared" si="13"/>
        <v>Poor</v>
      </c>
      <c r="K93" s="5" t="str">
        <f t="shared" si="14"/>
        <v>High Discount</v>
      </c>
    </row>
    <row r="94" spans="1:11">
      <c r="A94" s="5" t="s">
        <v>131</v>
      </c>
      <c r="B94" s="6">
        <v>1526</v>
      </c>
      <c r="C94" s="6">
        <v>1660</v>
      </c>
      <c r="D94" s="7">
        <f t="shared" si="10"/>
        <v>1526</v>
      </c>
      <c r="E94" s="5">
        <f t="shared" si="11"/>
        <v>1660</v>
      </c>
      <c r="F94" s="8">
        <v>0.08</v>
      </c>
      <c r="G94" s="5">
        <v>0</v>
      </c>
      <c r="H94" s="5">
        <v>0</v>
      </c>
      <c r="I94" s="5">
        <f t="shared" si="12"/>
        <v>134</v>
      </c>
      <c r="J94" s="5" t="str">
        <f t="shared" si="13"/>
        <v>Poor</v>
      </c>
      <c r="K94" s="5" t="str">
        <f t="shared" si="14"/>
        <v>Low Discount</v>
      </c>
    </row>
    <row r="95" spans="1:11">
      <c r="A95" s="5" t="s">
        <v>132</v>
      </c>
      <c r="B95" s="6">
        <v>1462</v>
      </c>
      <c r="C95" s="6">
        <v>1499</v>
      </c>
      <c r="D95" s="7">
        <f t="shared" si="10"/>
        <v>1462</v>
      </c>
      <c r="E95" s="5">
        <f t="shared" si="11"/>
        <v>1499</v>
      </c>
      <c r="F95" s="8">
        <v>0.02</v>
      </c>
      <c r="G95" s="5">
        <v>0</v>
      </c>
      <c r="H95" s="5">
        <v>0</v>
      </c>
      <c r="I95" s="5">
        <f t="shared" si="12"/>
        <v>37</v>
      </c>
      <c r="J95" s="5" t="str">
        <f t="shared" si="13"/>
        <v>Poor</v>
      </c>
      <c r="K95" s="5" t="str">
        <f t="shared" si="14"/>
        <v>Low Discount</v>
      </c>
    </row>
    <row r="96" spans="1:11">
      <c r="A96" s="5" t="s">
        <v>133</v>
      </c>
      <c r="B96" s="5">
        <v>248</v>
      </c>
      <c r="C96" s="5">
        <v>486</v>
      </c>
      <c r="D96" s="7">
        <f t="shared" si="10"/>
        <v>248</v>
      </c>
      <c r="E96" s="5">
        <f t="shared" si="11"/>
        <v>486</v>
      </c>
      <c r="F96" s="8">
        <v>0.49</v>
      </c>
      <c r="G96" s="5">
        <v>0</v>
      </c>
      <c r="H96" s="5">
        <v>0</v>
      </c>
      <c r="I96" s="5">
        <f t="shared" si="12"/>
        <v>238</v>
      </c>
      <c r="J96" s="5" t="str">
        <f t="shared" si="13"/>
        <v>Poor</v>
      </c>
      <c r="K96" s="5" t="str">
        <f t="shared" si="14"/>
        <v>High Discount</v>
      </c>
    </row>
    <row r="97" spans="1:11">
      <c r="A97" s="5" t="s">
        <v>134</v>
      </c>
      <c r="B97" s="6">
        <v>3546</v>
      </c>
      <c r="C97" s="6">
        <v>3699</v>
      </c>
      <c r="D97" s="7">
        <f t="shared" si="10"/>
        <v>3546</v>
      </c>
      <c r="E97" s="5">
        <f t="shared" si="11"/>
        <v>3699</v>
      </c>
      <c r="F97" s="8">
        <v>0.04</v>
      </c>
      <c r="G97" s="5">
        <v>0</v>
      </c>
      <c r="H97" s="5">
        <v>0</v>
      </c>
      <c r="I97" s="5">
        <f t="shared" si="12"/>
        <v>153</v>
      </c>
      <c r="J97" s="5" t="str">
        <f t="shared" si="13"/>
        <v>Poor</v>
      </c>
      <c r="K97" s="5" t="str">
        <f t="shared" si="14"/>
        <v>Low Discount</v>
      </c>
    </row>
    <row r="98" spans="1:11">
      <c r="A98" s="5" t="s">
        <v>135</v>
      </c>
      <c r="B98" s="5">
        <v>525</v>
      </c>
      <c r="C98" s="6">
        <v>1029</v>
      </c>
      <c r="D98" s="7">
        <f t="shared" si="10"/>
        <v>525</v>
      </c>
      <c r="E98" s="5">
        <f t="shared" si="11"/>
        <v>1029</v>
      </c>
      <c r="F98" s="8">
        <v>0.49</v>
      </c>
      <c r="G98" s="5">
        <v>0</v>
      </c>
      <c r="H98" s="5">
        <v>0</v>
      </c>
      <c r="I98" s="5">
        <f t="shared" si="12"/>
        <v>504</v>
      </c>
      <c r="J98" s="5" t="str">
        <f t="shared" si="13"/>
        <v>Poor</v>
      </c>
      <c r="K98" s="5" t="str">
        <f t="shared" si="14"/>
        <v>High Discount</v>
      </c>
    </row>
    <row r="99" spans="1:11">
      <c r="A99" s="5" t="s">
        <v>136</v>
      </c>
      <c r="B99" s="6">
        <v>1080</v>
      </c>
      <c r="C99" s="6">
        <v>1874</v>
      </c>
      <c r="D99" s="7">
        <f t="shared" si="10"/>
        <v>1080</v>
      </c>
      <c r="E99" s="5">
        <f t="shared" si="11"/>
        <v>1874</v>
      </c>
      <c r="F99" s="8">
        <v>0.42</v>
      </c>
      <c r="G99" s="5">
        <v>0</v>
      </c>
      <c r="H99" s="5">
        <v>0</v>
      </c>
      <c r="I99" s="5">
        <f t="shared" si="12"/>
        <v>794</v>
      </c>
      <c r="J99" s="5" t="str">
        <f t="shared" si="13"/>
        <v>Poor</v>
      </c>
      <c r="K99" s="5" t="str">
        <f t="shared" si="14"/>
        <v>High Discount</v>
      </c>
    </row>
    <row r="100" spans="1:11">
      <c r="A100" s="5" t="s">
        <v>137</v>
      </c>
      <c r="B100" s="6">
        <v>3640</v>
      </c>
      <c r="C100" s="6">
        <v>4588</v>
      </c>
      <c r="D100" s="7">
        <f t="shared" si="10"/>
        <v>3640</v>
      </c>
      <c r="E100" s="5">
        <f t="shared" si="11"/>
        <v>4588</v>
      </c>
      <c r="F100" s="8">
        <v>0.21</v>
      </c>
      <c r="G100" s="5">
        <v>1</v>
      </c>
      <c r="H100" s="5">
        <v>5</v>
      </c>
      <c r="I100" s="5">
        <f t="shared" si="12"/>
        <v>948</v>
      </c>
      <c r="J100" s="5" t="str">
        <f t="shared" si="13"/>
        <v>Excellent</v>
      </c>
      <c r="K100" s="5" t="str">
        <f t="shared" si="14"/>
        <v>Medium Discount</v>
      </c>
    </row>
    <row r="101" spans="1:11">
      <c r="A101" s="5" t="s">
        <v>138</v>
      </c>
      <c r="B101" s="6">
        <v>1420</v>
      </c>
      <c r="C101" s="6">
        <v>2420</v>
      </c>
      <c r="D101" s="7">
        <f t="shared" si="10"/>
        <v>1420</v>
      </c>
      <c r="E101" s="5">
        <f t="shared" si="11"/>
        <v>2420</v>
      </c>
      <c r="F101" s="8">
        <v>0.41</v>
      </c>
      <c r="G101" s="5">
        <v>0</v>
      </c>
      <c r="H101" s="5">
        <v>0</v>
      </c>
      <c r="I101" s="5">
        <f t="shared" si="12"/>
        <v>1000</v>
      </c>
      <c r="J101" s="5" t="str">
        <f t="shared" si="13"/>
        <v>Poor</v>
      </c>
      <c r="K101" s="5" t="str">
        <f t="shared" si="14"/>
        <v>High Discount</v>
      </c>
    </row>
    <row r="102" spans="1:11">
      <c r="A102" s="5" t="s">
        <v>139</v>
      </c>
      <c r="B102" s="6">
        <v>1875</v>
      </c>
      <c r="C102" s="6">
        <v>1899</v>
      </c>
      <c r="D102" s="7">
        <f t="shared" si="10"/>
        <v>1875</v>
      </c>
      <c r="E102" s="5">
        <f t="shared" si="11"/>
        <v>1899</v>
      </c>
      <c r="F102" s="8">
        <v>0.01</v>
      </c>
      <c r="G102" s="5">
        <v>0</v>
      </c>
      <c r="H102" s="5">
        <v>0</v>
      </c>
      <c r="I102" s="5">
        <f t="shared" si="12"/>
        <v>24</v>
      </c>
      <c r="J102" s="5" t="str">
        <f t="shared" si="13"/>
        <v>Poor</v>
      </c>
      <c r="K102" s="5" t="str">
        <f t="shared" si="14"/>
        <v>Low Discount</v>
      </c>
    </row>
    <row r="103" spans="1:11">
      <c r="A103" s="5" t="s">
        <v>140</v>
      </c>
      <c r="B103" s="5">
        <v>198</v>
      </c>
      <c r="C103" s="5">
        <v>260</v>
      </c>
      <c r="D103" s="7">
        <f t="shared" si="10"/>
        <v>198</v>
      </c>
      <c r="E103" s="5">
        <f t="shared" si="11"/>
        <v>260</v>
      </c>
      <c r="F103" s="8">
        <v>0.24</v>
      </c>
      <c r="G103" s="5">
        <v>0</v>
      </c>
      <c r="H103" s="5">
        <v>0</v>
      </c>
      <c r="I103" s="5">
        <f t="shared" si="12"/>
        <v>62</v>
      </c>
      <c r="J103" s="5" t="str">
        <f t="shared" si="13"/>
        <v>Poor</v>
      </c>
      <c r="K103" s="5" t="str">
        <f t="shared" si="14"/>
        <v>Medium Discount</v>
      </c>
    </row>
    <row r="104" spans="1:11">
      <c r="A104" s="5" t="s">
        <v>141</v>
      </c>
      <c r="B104" s="6">
        <v>1150</v>
      </c>
      <c r="C104" s="6">
        <v>1737</v>
      </c>
      <c r="D104" s="7">
        <f t="shared" si="10"/>
        <v>1150</v>
      </c>
      <c r="E104" s="5">
        <f t="shared" si="11"/>
        <v>1737</v>
      </c>
      <c r="F104" s="8">
        <v>0.34</v>
      </c>
      <c r="G104" s="5">
        <v>0</v>
      </c>
      <c r="H104" s="5">
        <v>0</v>
      </c>
      <c r="I104" s="5">
        <f t="shared" si="12"/>
        <v>587</v>
      </c>
      <c r="J104" s="5" t="str">
        <f t="shared" si="13"/>
        <v>Poor</v>
      </c>
      <c r="K104" s="5" t="str">
        <f t="shared" si="14"/>
        <v>Medium Discount</v>
      </c>
    </row>
    <row r="105" spans="1:11">
      <c r="A105" s="5" t="s">
        <v>142</v>
      </c>
      <c r="B105" s="6">
        <v>1190</v>
      </c>
      <c r="C105" s="6">
        <v>1810</v>
      </c>
      <c r="D105" s="7">
        <f t="shared" si="10"/>
        <v>1190</v>
      </c>
      <c r="E105" s="5">
        <f t="shared" si="11"/>
        <v>1810</v>
      </c>
      <c r="F105" s="8">
        <v>0.34</v>
      </c>
      <c r="G105" s="5">
        <v>0</v>
      </c>
      <c r="H105" s="5">
        <v>0</v>
      </c>
      <c r="I105" s="5">
        <f t="shared" si="12"/>
        <v>620</v>
      </c>
      <c r="J105" s="5" t="str">
        <f t="shared" si="13"/>
        <v>Poor</v>
      </c>
      <c r="K105" s="5" t="str">
        <f t="shared" si="14"/>
        <v>Medium Discount</v>
      </c>
    </row>
    <row r="106" spans="1:11">
      <c r="A106" s="5" t="s">
        <v>143</v>
      </c>
      <c r="B106" s="6">
        <v>1658</v>
      </c>
      <c r="C106" s="6">
        <v>1699</v>
      </c>
      <c r="D106" s="7">
        <f t="shared" si="10"/>
        <v>1658</v>
      </c>
      <c r="E106" s="5">
        <f t="shared" si="11"/>
        <v>1699</v>
      </c>
      <c r="F106" s="8">
        <v>0.02</v>
      </c>
      <c r="G106" s="5">
        <v>0</v>
      </c>
      <c r="H106" s="5">
        <v>0</v>
      </c>
      <c r="I106" s="5">
        <f t="shared" si="12"/>
        <v>41</v>
      </c>
      <c r="J106" s="5" t="str">
        <f t="shared" si="13"/>
        <v>Poor</v>
      </c>
      <c r="K106" s="5" t="str">
        <f t="shared" si="14"/>
        <v>Low Discount</v>
      </c>
    </row>
    <row r="107" spans="1:11">
      <c r="A107" s="5" t="s">
        <v>144</v>
      </c>
      <c r="B107" s="6">
        <v>1768</v>
      </c>
      <c r="C107" s="6">
        <v>1799</v>
      </c>
      <c r="D107" s="7">
        <f t="shared" si="10"/>
        <v>1768</v>
      </c>
      <c r="E107" s="5">
        <f t="shared" si="11"/>
        <v>1799</v>
      </c>
      <c r="F107" s="8">
        <v>0.02</v>
      </c>
      <c r="G107" s="5">
        <v>0</v>
      </c>
      <c r="H107" s="5">
        <v>0</v>
      </c>
      <c r="I107" s="5">
        <f t="shared" si="12"/>
        <v>31</v>
      </c>
      <c r="J107" s="5" t="str">
        <f t="shared" si="13"/>
        <v>Poor</v>
      </c>
      <c r="K107" s="5" t="str">
        <f t="shared" si="14"/>
        <v>Low Discount</v>
      </c>
    </row>
    <row r="108" spans="1:11">
      <c r="A108" s="5" t="s">
        <v>145</v>
      </c>
      <c r="B108" s="5">
        <v>199</v>
      </c>
      <c r="C108" s="5">
        <v>553</v>
      </c>
      <c r="D108" s="7">
        <f t="shared" si="10"/>
        <v>199</v>
      </c>
      <c r="E108" s="5">
        <f t="shared" si="11"/>
        <v>553</v>
      </c>
      <c r="F108" s="8">
        <v>0.64</v>
      </c>
      <c r="G108" s="5">
        <v>0</v>
      </c>
      <c r="H108" s="5">
        <v>0</v>
      </c>
      <c r="I108" s="5">
        <f t="shared" si="12"/>
        <v>354</v>
      </c>
      <c r="J108" s="5" t="str">
        <f t="shared" si="13"/>
        <v>Poor</v>
      </c>
      <c r="K108" s="5" t="str">
        <f t="shared" si="14"/>
        <v>High Discount</v>
      </c>
    </row>
    <row r="109" spans="1:11">
      <c r="A109" s="5" t="s">
        <v>146</v>
      </c>
      <c r="B109" s="5">
        <v>450</v>
      </c>
      <c r="C109" s="5">
        <v>900</v>
      </c>
      <c r="D109" s="7">
        <f t="shared" si="10"/>
        <v>450</v>
      </c>
      <c r="E109" s="5">
        <f t="shared" si="11"/>
        <v>900</v>
      </c>
      <c r="F109" s="8">
        <v>0.5</v>
      </c>
      <c r="G109" s="5">
        <v>1</v>
      </c>
      <c r="H109" s="5">
        <v>2</v>
      </c>
      <c r="I109" s="5">
        <f t="shared" si="12"/>
        <v>450</v>
      </c>
      <c r="J109" s="5" t="str">
        <f t="shared" si="13"/>
        <v>Poor</v>
      </c>
      <c r="K109" s="5" t="str">
        <f t="shared" si="14"/>
        <v>High Discount</v>
      </c>
    </row>
    <row r="110" spans="1:11">
      <c r="A110" s="5" t="s">
        <v>147</v>
      </c>
      <c r="B110" s="5">
        <v>169</v>
      </c>
      <c r="C110" s="5">
        <v>320</v>
      </c>
      <c r="D110" s="7">
        <f t="shared" si="10"/>
        <v>169</v>
      </c>
      <c r="E110" s="5">
        <f t="shared" si="11"/>
        <v>320</v>
      </c>
      <c r="F110" s="8">
        <v>0.47</v>
      </c>
      <c r="G110" s="5">
        <v>0</v>
      </c>
      <c r="H110" s="5">
        <v>0</v>
      </c>
      <c r="I110" s="5">
        <f t="shared" si="12"/>
        <v>151</v>
      </c>
      <c r="J110" s="5" t="str">
        <f t="shared" si="13"/>
        <v>Poor</v>
      </c>
      <c r="K110" s="5" t="str">
        <f t="shared" si="14"/>
        <v>High Discount</v>
      </c>
    </row>
  </sheetData>
  <autoFilter xmlns:etc="http://www.wps.cn/officeDocument/2017/etCustomData" ref="A1:K1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Descriptive  Anal</vt:lpstr>
      <vt:lpstr>Discount% vs Number of reviews</vt:lpstr>
      <vt:lpstr>Sheet1</vt:lpstr>
      <vt:lpstr>Excel_jumia (1)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2026-03-27T18:46:00Z</dcterms:created>
  <dcterms:modified xsi:type="dcterms:W3CDTF">2026-03-29T16:13:38Z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1879536D32514AC09EE75EC6BFEEBE56_13</vt:lpwstr>
  </property>
  <property fmtid="{D5CDD505-2E9C-101B-9397-08002B2CF9AE}" pid="3" name="KSOProductBuildVer">
    <vt:lpwstr>1033-12.2.0.23196</vt:lpwstr>
  </property>
</Properties>
</file>